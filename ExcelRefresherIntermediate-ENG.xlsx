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lmoreau.sharepoint.com/sites/FORMATIONS2/EXCEL/EXCEL MODULES/REFRESH INTERMEDIATE/"/>
    </mc:Choice>
  </mc:AlternateContent>
  <xr:revisionPtr revIDLastSave="178" documentId="8_{7299AD69-9F35-43F6-84EC-F74CD925E446}" xr6:coauthVersionLast="47" xr6:coauthVersionMax="47" xr10:uidLastSave="{B81C8577-2A21-4B20-BD4B-13071EF3B784}"/>
  <bookViews>
    <workbookView xWindow="-120" yWindow="-120" windowWidth="29040" windowHeight="15720" tabRatio="763" firstSheet="2" activeTab="4" xr2:uid="{B29C7BD2-3CA1-46D2-B21A-A03890AECBE1}"/>
  </bookViews>
  <sheets>
    <sheet name="Variables" sheetId="2" r:id="rId1"/>
    <sheet name="I1. Réf rel. et abs." sheetId="22" r:id="rId2"/>
    <sheet name="I2. Cond. Formatting" sheetId="23" r:id="rId3"/>
    <sheet name="I2. Cond. Formatting (Ex)" sheetId="21" r:id="rId4"/>
    <sheet name="I2. Cond. Formatting (Sol.)" sheetId="20" r:id="rId5"/>
    <sheet name="I3. Data Validation" sheetId="24" r:id="rId6"/>
    <sheet name="I3. Dropdown list" sheetId="25" r:id="rId7"/>
    <sheet name="I4. Protection" sheetId="26" r:id="rId8"/>
    <sheet name="TBL+XLOOKUP" sheetId="4" state="hidden" r:id="rId9"/>
  </sheets>
  <definedNames>
    <definedName name="_xlnm._FilterDatabase" localSheetId="1" hidden="1">'I1. Réf rel. et abs.'!$G$5:$N$26</definedName>
    <definedName name="_xlnm._FilterDatabase" localSheetId="2" hidden="1">'I2. Cond. Formatting'!$A$5:$F$26</definedName>
    <definedName name="_xlnm._FilterDatabase" localSheetId="3" hidden="1">'I2. Cond. Formatting (Ex)'!$A$5:$F$26</definedName>
    <definedName name="_xlnm._FilterDatabase" localSheetId="4" hidden="1">'I2. Cond. Formatting (Sol.)'!$A$5:$F$26</definedName>
    <definedName name="CH">Variables!$H$3</definedName>
    <definedName name="D">Variables!$H$6</definedName>
    <definedName name="FR">Variables!$H$5</definedName>
    <definedName name="GB">Variables!$H$8</definedName>
    <definedName name="I3liste">'I3. Dropdown list'!$I$1</definedName>
    <definedName name="IT">Variables!$H$7</definedName>
    <definedName name="liste_cantons">Variables!$B$11:$B$15</definedName>
    <definedName name="tax10pc">Variables!$B$4</definedName>
    <definedName name="tax12pc">Variables!$B$6</definedName>
    <definedName name="TVACH">Variables!$H$3</definedName>
    <definedName name="US">Variables!$H$4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 i="20" l="1"/>
  <c r="E29" i="20" l="1"/>
  <c r="E28" i="20"/>
  <c r="A1" i="26"/>
  <c r="A1" i="25"/>
  <c r="A1" i="24"/>
  <c r="A1" i="23"/>
  <c r="K57" i="22"/>
  <c r="J57" i="22"/>
  <c r="Q57" i="22" s="1"/>
  <c r="Q56" i="22"/>
  <c r="P56" i="22"/>
  <c r="O56" i="22"/>
  <c r="N56" i="22"/>
  <c r="J56" i="22"/>
  <c r="M56" i="22" s="1"/>
  <c r="O55" i="22"/>
  <c r="M55" i="22"/>
  <c r="L55" i="22"/>
  <c r="K55" i="22"/>
  <c r="J55" i="22"/>
  <c r="Q55" i="22" s="1"/>
  <c r="K54" i="22"/>
  <c r="J54" i="22"/>
  <c r="Q54" i="22" s="1"/>
  <c r="Q53" i="22"/>
  <c r="P53" i="22"/>
  <c r="O53" i="22"/>
  <c r="N53" i="22"/>
  <c r="J53" i="22"/>
  <c r="M53" i="22" s="1"/>
  <c r="O52" i="22"/>
  <c r="M52" i="22"/>
  <c r="L52" i="22"/>
  <c r="K52" i="22"/>
  <c r="J52" i="22"/>
  <c r="Q52" i="22" s="1"/>
  <c r="K51" i="22"/>
  <c r="J51" i="22"/>
  <c r="Q51" i="22" s="1"/>
  <c r="Q50" i="22"/>
  <c r="P50" i="22"/>
  <c r="O50" i="22"/>
  <c r="N50" i="22"/>
  <c r="J50" i="22"/>
  <c r="M50" i="22" s="1"/>
  <c r="O49" i="22"/>
  <c r="M49" i="22"/>
  <c r="L49" i="22"/>
  <c r="K49" i="22"/>
  <c r="J49" i="22"/>
  <c r="Q49" i="22" s="1"/>
  <c r="K48" i="22"/>
  <c r="J48" i="22"/>
  <c r="Q48" i="22" s="1"/>
  <c r="Q47" i="22"/>
  <c r="P47" i="22"/>
  <c r="O47" i="22"/>
  <c r="N47" i="22"/>
  <c r="J47" i="22"/>
  <c r="M47" i="22" s="1"/>
  <c r="O46" i="22"/>
  <c r="M46" i="22"/>
  <c r="L46" i="22"/>
  <c r="K46" i="22"/>
  <c r="J46" i="22"/>
  <c r="Q46" i="22" s="1"/>
  <c r="K45" i="22"/>
  <c r="J45" i="22"/>
  <c r="Q45" i="22" s="1"/>
  <c r="Q44" i="22"/>
  <c r="P44" i="22"/>
  <c r="O44" i="22"/>
  <c r="N44" i="22"/>
  <c r="J44" i="22"/>
  <c r="M44" i="22" s="1"/>
  <c r="O43" i="22"/>
  <c r="M43" i="22"/>
  <c r="L43" i="22"/>
  <c r="K43" i="22"/>
  <c r="J43" i="22"/>
  <c r="Q43" i="22" s="1"/>
  <c r="K42" i="22"/>
  <c r="J42" i="22"/>
  <c r="Q42" i="22" s="1"/>
  <c r="Q41" i="22"/>
  <c r="P41" i="22"/>
  <c r="O41" i="22"/>
  <c r="N41" i="22"/>
  <c r="J41" i="22"/>
  <c r="M41" i="22" s="1"/>
  <c r="O40" i="22"/>
  <c r="M40" i="22"/>
  <c r="L40" i="22"/>
  <c r="K40" i="22"/>
  <c r="J40" i="22"/>
  <c r="Q40" i="22" s="1"/>
  <c r="K39" i="22"/>
  <c r="J39" i="22"/>
  <c r="Q39" i="22" s="1"/>
  <c r="Q38" i="22"/>
  <c r="P38" i="22"/>
  <c r="O38" i="22"/>
  <c r="N38" i="22"/>
  <c r="J38" i="22"/>
  <c r="M38" i="22" s="1"/>
  <c r="O37" i="22"/>
  <c r="M37" i="22"/>
  <c r="L37" i="22"/>
  <c r="K37" i="22"/>
  <c r="J37" i="22"/>
  <c r="Q37" i="22" s="1"/>
  <c r="A1" i="22"/>
  <c r="E26" i="21"/>
  <c r="F26" i="21" s="1"/>
  <c r="E25" i="21"/>
  <c r="F24" i="21"/>
  <c r="E24" i="21"/>
  <c r="F23" i="21"/>
  <c r="E23" i="21"/>
  <c r="F22" i="21"/>
  <c r="E22" i="21"/>
  <c r="E21" i="21"/>
  <c r="F20" i="21"/>
  <c r="E20" i="21"/>
  <c r="F19" i="21"/>
  <c r="E19" i="21"/>
  <c r="F18" i="21"/>
  <c r="E18" i="21"/>
  <c r="E17" i="21"/>
  <c r="F16" i="21"/>
  <c r="E16" i="21"/>
  <c r="F15" i="21"/>
  <c r="E15" i="21"/>
  <c r="F14" i="21"/>
  <c r="E14" i="21"/>
  <c r="E13" i="21"/>
  <c r="F12" i="21"/>
  <c r="E12" i="21"/>
  <c r="F11" i="21"/>
  <c r="E11" i="21"/>
  <c r="F10" i="21"/>
  <c r="E10" i="21"/>
  <c r="E9" i="21"/>
  <c r="F8" i="21"/>
  <c r="E8" i="21"/>
  <c r="F7" i="21"/>
  <c r="E7" i="21"/>
  <c r="F6" i="21"/>
  <c r="E6" i="21"/>
  <c r="A1" i="21"/>
  <c r="A1" i="20"/>
  <c r="E7" i="20"/>
  <c r="H7" i="20" s="1"/>
  <c r="E8" i="20"/>
  <c r="H8" i="20" s="1"/>
  <c r="E9" i="20"/>
  <c r="H9" i="20" s="1"/>
  <c r="E10" i="20"/>
  <c r="H10" i="20" s="1"/>
  <c r="E11" i="20"/>
  <c r="H11" i="20" s="1"/>
  <c r="E12" i="20"/>
  <c r="H12" i="20" s="1"/>
  <c r="E19" i="20"/>
  <c r="E21" i="20"/>
  <c r="E22" i="20"/>
  <c r="E23" i="20"/>
  <c r="E24" i="20"/>
  <c r="E25" i="20"/>
  <c r="E26" i="20"/>
  <c r="H26" i="20" s="1"/>
  <c r="E13" i="20"/>
  <c r="E14" i="20"/>
  <c r="E15" i="20"/>
  <c r="E16" i="20"/>
  <c r="E17" i="20"/>
  <c r="E18" i="20"/>
  <c r="E20" i="20"/>
  <c r="E6" i="20"/>
  <c r="H19" i="20" l="1"/>
  <c r="N37" i="22"/>
  <c r="N40" i="22"/>
  <c r="N43" i="22"/>
  <c r="N46" i="22"/>
  <c r="N49" i="22"/>
  <c r="N52" i="22"/>
  <c r="N55" i="22"/>
  <c r="P37" i="22"/>
  <c r="L39" i="22"/>
  <c r="P40" i="22"/>
  <c r="L42" i="22"/>
  <c r="P43" i="22"/>
  <c r="L45" i="22"/>
  <c r="P46" i="22"/>
  <c r="L48" i="22"/>
  <c r="P49" i="22"/>
  <c r="L51" i="22"/>
  <c r="P52" i="22"/>
  <c r="L54" i="22"/>
  <c r="P55" i="22"/>
  <c r="L57" i="22"/>
  <c r="M39" i="22"/>
  <c r="M42" i="22"/>
  <c r="M45" i="22"/>
  <c r="M48" i="22"/>
  <c r="M51" i="22"/>
  <c r="M54" i="22"/>
  <c r="M57" i="22"/>
  <c r="N39" i="22"/>
  <c r="N42" i="22"/>
  <c r="N45" i="22"/>
  <c r="N48" i="22"/>
  <c r="N51" i="22"/>
  <c r="N54" i="22"/>
  <c r="N57" i="22"/>
  <c r="K38" i="22"/>
  <c r="O39" i="22"/>
  <c r="K41" i="22"/>
  <c r="O42" i="22"/>
  <c r="K44" i="22"/>
  <c r="O45" i="22"/>
  <c r="K47" i="22"/>
  <c r="O48" i="22"/>
  <c r="K50" i="22"/>
  <c r="O51" i="22"/>
  <c r="K53" i="22"/>
  <c r="O54" i="22"/>
  <c r="K56" i="22"/>
  <c r="O57" i="22"/>
  <c r="L38" i="22"/>
  <c r="P39" i="22"/>
  <c r="L41" i="22"/>
  <c r="P42" i="22"/>
  <c r="L44" i="22"/>
  <c r="P45" i="22"/>
  <c r="L47" i="22"/>
  <c r="P48" i="22"/>
  <c r="L50" i="22"/>
  <c r="P51" i="22"/>
  <c r="L53" i="22"/>
  <c r="P54" i="22"/>
  <c r="L56" i="22"/>
  <c r="P57" i="22"/>
  <c r="F9" i="21"/>
  <c r="F13" i="21"/>
  <c r="F17" i="21"/>
  <c r="F21" i="21"/>
  <c r="F25" i="21"/>
  <c r="F24" i="20"/>
  <c r="H22" i="20"/>
  <c r="H14" i="20"/>
  <c r="H25" i="20"/>
  <c r="H24" i="20"/>
  <c r="H21" i="20"/>
  <c r="F10" i="20"/>
  <c r="F19" i="20"/>
  <c r="H23" i="20"/>
  <c r="F14" i="20"/>
  <c r="F9" i="20"/>
  <c r="H20" i="20"/>
  <c r="F13" i="20"/>
  <c r="F8" i="20"/>
  <c r="F20" i="20"/>
  <c r="F7" i="20"/>
  <c r="H18" i="20"/>
  <c r="H17" i="20"/>
  <c r="F6" i="20"/>
  <c r="F22" i="20"/>
  <c r="F21" i="20"/>
  <c r="H15" i="20"/>
  <c r="F18" i="20"/>
  <c r="H16" i="20"/>
  <c r="F17" i="20"/>
  <c r="F12" i="20"/>
  <c r="H13" i="20"/>
  <c r="F16" i="20"/>
  <c r="F11" i="20"/>
  <c r="F23" i="20"/>
  <c r="H6" i="20"/>
  <c r="F15" i="20"/>
  <c r="F26" i="20"/>
  <c r="F25" i="20"/>
  <c r="F15" i="4"/>
  <c r="F2" i="4"/>
  <c r="F3" i="4"/>
  <c r="F4" i="4"/>
  <c r="F5" i="4"/>
  <c r="F6" i="4"/>
  <c r="F7" i="4"/>
  <c r="F8" i="4"/>
  <c r="F9" i="4"/>
  <c r="F10" i="4"/>
  <c r="F11" i="4"/>
  <c r="F12" i="4"/>
  <c r="F13" i="4"/>
  <c r="F14" i="4"/>
  <c r="F16" i="4"/>
  <c r="F17" i="4"/>
  <c r="F18" i="4"/>
  <c r="F19" i="4"/>
  <c r="F20" i="4"/>
  <c r="F21" i="4"/>
  <c r="F22" i="4"/>
  <c r="F23" i="4"/>
  <c r="F24" i="4"/>
  <c r="E24" i="4"/>
  <c r="E23" i="4"/>
  <c r="E22" i="4"/>
  <c r="E21" i="4"/>
  <c r="E20" i="4"/>
  <c r="E19" i="4"/>
  <c r="E18" i="4"/>
  <c r="E17" i="4"/>
  <c r="E16" i="4"/>
  <c r="E15" i="4"/>
  <c r="E14" i="4"/>
  <c r="E13" i="4"/>
  <c r="E12" i="4"/>
  <c r="E11" i="4"/>
  <c r="E10" i="4"/>
  <c r="E9" i="4"/>
  <c r="E8" i="4"/>
  <c r="E7" i="4"/>
  <c r="E6" i="4"/>
  <c r="E5" i="4"/>
  <c r="E4" i="4"/>
  <c r="E3" i="4"/>
  <c r="E2"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<sst xmlns="http://schemas.openxmlformats.org/spreadsheetml/2006/main" count="189" uniqueCount="102">
  <si>
    <t>TOTAL</t>
  </si>
  <si>
    <t>jan</t>
  </si>
  <si>
    <t>feb</t>
  </si>
  <si>
    <t>mar</t>
  </si>
  <si>
    <t>TOTAL TTC</t>
  </si>
  <si>
    <t>TAX</t>
  </si>
  <si>
    <t>CH</t>
  </si>
  <si>
    <t>US</t>
  </si>
  <si>
    <t>FR</t>
  </si>
  <si>
    <t>D</t>
  </si>
  <si>
    <t>IT</t>
  </si>
  <si>
    <t>GB</t>
  </si>
  <si>
    <t>Liste cantons</t>
  </si>
  <si>
    <t>Vaud</t>
  </si>
  <si>
    <t>Genève</t>
  </si>
  <si>
    <t>Berne</t>
  </si>
  <si>
    <t>Zurich</t>
  </si>
  <si>
    <t>Fribourg</t>
  </si>
  <si>
    <t>PRIX DE VENTE ESTIME</t>
  </si>
  <si>
    <t>PRODUIT</t>
  </si>
  <si>
    <t>Matières premières</t>
  </si>
  <si>
    <t>Main d'œuvre</t>
  </si>
  <si>
    <t>PRODUIT1</t>
  </si>
  <si>
    <t>PRODUIT2</t>
  </si>
  <si>
    <t>PRODUIT3</t>
  </si>
  <si>
    <t>PRODUIT4</t>
  </si>
  <si>
    <t>PRODUIT5</t>
  </si>
  <si>
    <t>PRODUIT6</t>
  </si>
  <si>
    <t>PRODUIT7</t>
  </si>
  <si>
    <t>PRODUIT8</t>
  </si>
  <si>
    <t>PRODUIT9</t>
  </si>
  <si>
    <t>PRODUIT10</t>
  </si>
  <si>
    <t>PRODUIT11</t>
  </si>
  <si>
    <t>PRODUIT12</t>
  </si>
  <si>
    <t>PRODUIT13</t>
  </si>
  <si>
    <t>PRODUIT14</t>
  </si>
  <si>
    <t>PRODUIT15</t>
  </si>
  <si>
    <t>PRODUIT16</t>
  </si>
  <si>
    <t>PRODUIT17</t>
  </si>
  <si>
    <t>PRODUIT18</t>
  </si>
  <si>
    <t>PRODUIT19</t>
  </si>
  <si>
    <t>PRODUIT20</t>
  </si>
  <si>
    <t>PRODUIT21</t>
  </si>
  <si>
    <t>SOLUTION (afficher les lignes ci-dessous)</t>
  </si>
  <si>
    <t>⚫</t>
  </si>
  <si>
    <t>—</t>
  </si>
  <si>
    <t>|</t>
  </si>
  <si>
    <t>MAJ + 7</t>
  </si>
  <si>
    <t>Max Total</t>
  </si>
  <si>
    <t>NB entier</t>
  </si>
  <si>
    <t>Date</t>
  </si>
  <si>
    <t>formule</t>
  </si>
  <si>
    <t>Total max.</t>
  </si>
  <si>
    <t>Texte</t>
  </si>
  <si>
    <t>COUNTRY</t>
  </si>
  <si>
    <t>Ludovic Moreau
moreau@artofnet.ch</t>
  </si>
  <si>
    <t>PRODUCT</t>
  </si>
  <si>
    <t>Cost</t>
  </si>
  <si>
    <t>Labor</t>
  </si>
  <si>
    <t>ESTIMATED SALE PRICE</t>
  </si>
  <si>
    <t>Highlight cells according to a user-defined filter</t>
  </si>
  <si>
    <t>Highlighting against the max, min, and average values of the selected range</t>
  </si>
  <si>
    <t>Adds color bars to each selected cell. The width of the bar is proportional to the value</t>
  </si>
  <si>
    <t>Adds color shades to each selected cell. The nuance is proportional to the value.</t>
  </si>
  <si>
    <t xml:space="preserve">
Ajoute des icônes prédéfinesdans chaque cellule sélectionnée. L'icône affichée dépend de la valeur dans la plage.
Adds preset icons to each selected cell. The icon displayed depends on the value in the range.</t>
  </si>
  <si>
    <t>Managing existing Conditional Formatting Rules</t>
  </si>
  <si>
    <t>Store</t>
  </si>
  <si>
    <t>Rank</t>
  </si>
  <si>
    <t>Store1</t>
  </si>
  <si>
    <t>Store10</t>
  </si>
  <si>
    <t>Store11</t>
  </si>
  <si>
    <t>Store12</t>
  </si>
  <si>
    <t>Store13</t>
  </si>
  <si>
    <t>Store14</t>
  </si>
  <si>
    <t>Store2</t>
  </si>
  <si>
    <t>Store24</t>
  </si>
  <si>
    <t>Store25</t>
  </si>
  <si>
    <t>Store26</t>
  </si>
  <si>
    <t>Store27</t>
  </si>
  <si>
    <t>Store28</t>
  </si>
  <si>
    <t>Store29</t>
  </si>
  <si>
    <t>Store3</t>
  </si>
  <si>
    <t>Store30</t>
  </si>
  <si>
    <t>Store4</t>
  </si>
  <si>
    <t>Store5</t>
  </si>
  <si>
    <t>Store6</t>
  </si>
  <si>
    <t>Store7</t>
  </si>
  <si>
    <t>Store8</t>
  </si>
  <si>
    <t>Store9</t>
  </si>
  <si>
    <t>Max Rank</t>
  </si>
  <si>
    <t>Scaling factor</t>
  </si>
  <si>
    <t>Win + . (emoji)</t>
  </si>
  <si>
    <t>Text</t>
  </si>
  <si>
    <t>Cells</t>
  </si>
  <si>
    <t>Defined name</t>
  </si>
  <si>
    <t>Formula</t>
  </si>
  <si>
    <t>HR</t>
  </si>
  <si>
    <t>MKG</t>
  </si>
  <si>
    <t>ADMIN</t>
  </si>
  <si>
    <t>PROD</t>
  </si>
  <si>
    <t>FINANCE</t>
  </si>
  <si>
    <t>Departments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</si>
</sst>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 [$CHF-100C]_-;\-* #,##0\ [$CHF-100C]_-;_-* &quot;-&quot;??\ [$CHF-100C]_-;_-@_-"/>
    <numFmt numFmtId="165" formatCode="_(* #,##0.00_);_(* \(#,##0.00\);_(* &quot;-&quot;??_);_(@_)"/>
    <numFmt numFmtId="166" formatCode="[$-F800]dddd\,\ mmmm\ dd\,\ yyyy"/>
  </numFmts>
  <fonts count="11" x14ac:knownFonts="1">
    <font>
      <sz val="11"/>
      <color theme="1"/>
      <name val="Calibri"/>
      <family val="2"/>
      <scheme val="minor"/>
    </font>
    <font>
      <sz val="11"/>
      <color theme="1"/>
      <name val="Calibri"/>
      <family val="2"/>
      <scheme val="minor"/>
    </font>
    <font>
      <sz val="8"/>
      <name val="Calibri"/>
      <family val="2"/>
      <scheme val="minor"/>
    </font>
    <font>
      <sz val="14"/>
      <color theme="0" tint="-0.24994659260841701"/>
      <name val="Alasassy Caps"/>
    </font>
    <font>
      <sz val="11"/>
      <color theme="0"/>
      <name val="Calibri"/>
      <family val="2"/>
      <scheme val="minor"/>
    </font>
    <font>
      <sz val="14"/>
      <color theme="1"/>
      <name val="Calibri"/>
      <family val="2"/>
      <scheme val="minor"/>
    </font>
    <font>
      <sz val="11"/>
      <color theme="1"/>
      <name val="Consolas"/>
      <family val="3"/>
    </font>
    <font>
      <sz val="14"/>
      <color rgb="FF000000"/>
      <name val="Times New Roman"/>
      <family val="1"/>
    </font>
    <font>
      <sz val="14"/>
      <color rgb="FF000000"/>
      <name val="Consolas"/>
      <family val="3"/>
    </font>
    <font>
      <sz val="11"/>
      <color theme="5"/>
      <name val="Courier New"/>
      <family val="3"/>
    </font>
    <font>
      <sz val="18"/>
      <color theme="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rgb="FFC00000"/>
        <bgColor indexed="64"/>
      </patternFill>
    </fill>
    <fill>
      <patternFill patternType="solid">
        <fgColor theme="4"/>
      </patternFill>
    </fill>
    <fill>
      <patternFill patternType="solid">
        <fgColor theme="8"/>
      </patternFill>
    </fill>
    <fill>
      <patternFill patternType="solid">
        <fgColor theme="5"/>
      </patternFill>
    </fill>
    <fill>
      <patternFill patternType="solid">
        <fgColor theme="0" tint="-4.9989318521683403E-2"/>
        <bgColor indexed="64"/>
      </patternFill>
    </fill>
    <fill>
      <patternFill patternType="solid">
        <fgColor theme="6" tint="-0.499984740745262"/>
        <bgColor indexed="64"/>
      </patternFill>
    </fill>
    <fill>
      <patternFill patternType="solid">
        <fgColor theme="0"/>
        <bgColor indexed="64"/>
      </patternFill>
    </fill>
    <fill>
      <patternFill patternType="solid">
        <fgColor theme="6"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bottom>
      <diagonal/>
    </border>
    <border>
      <left style="thick">
        <color theme="4"/>
      </left>
      <right/>
      <top style="thick">
        <color theme="4"/>
      </top>
      <bottom style="thick">
        <color theme="4"/>
      </bottom>
      <diagonal/>
    </border>
    <border>
      <left/>
      <right/>
      <top style="thick">
        <color theme="4"/>
      </top>
      <bottom style="thick">
        <color theme="4"/>
      </bottom>
      <diagonal/>
    </border>
    <border>
      <left/>
      <right style="thick">
        <color theme="4"/>
      </right>
      <top style="thick">
        <color theme="4"/>
      </top>
      <bottom style="thick">
        <color theme="4"/>
      </bottom>
      <diagonal/>
    </border>
    <border>
      <left style="medium">
        <color theme="4"/>
      </left>
      <right style="medium">
        <color theme="4"/>
      </right>
      <top style="medium">
        <color theme="4"/>
      </top>
      <bottom style="medium">
        <color theme="4"/>
      </bottom>
      <diagonal/>
    </border>
    <border>
      <left style="medium">
        <color theme="4"/>
      </left>
      <right style="medium">
        <color theme="4"/>
      </right>
      <top style="medium">
        <color theme="4"/>
      </top>
      <bottom/>
      <diagonal/>
    </border>
  </borders>
  <cellStyleXfs count="7">
    <xf numFmtId="0" fontId="0" fillId="0" borderId="0"/>
    <xf numFmtId="9" fontId="1" fillId="0" borderId="0" applyFont="0" applyFill="0" applyBorder="0" applyAlignment="0" applyProtection="0"/>
    <xf numFmtId="0" fontId="3" fillId="3" borderId="1" applyBorder="0"/>
    <xf numFmtId="0" fontId="4" fillId="4" borderId="0" applyNumberFormat="0" applyBorder="0" applyAlignment="0" applyProtection="0"/>
    <xf numFmtId="0" fontId="4" fillId="5" borderId="0" applyNumberFormat="0" applyBorder="0" applyAlignment="0" applyProtection="0"/>
    <xf numFmtId="165" fontId="1" fillId="0" borderId="0" applyFont="0" applyFill="0" applyBorder="0" applyAlignment="0" applyProtection="0"/>
    <xf numFmtId="0" fontId="4" fillId="6" borderId="0" applyNumberFormat="0" applyBorder="0" applyAlignment="0" applyProtection="0"/>
  </cellStyleXfs>
  <cellXfs count="33">
    <xf numFmtId="0" fontId="0" fillId="0" borderId="0" xfId="0"/>
    <xf numFmtId="9" fontId="0" fillId="0" borderId="0" xfId="0" applyNumberFormat="1"/>
    <xf numFmtId="2" fontId="0" fillId="0" borderId="0" xfId="0" applyNumberFormat="1"/>
    <xf numFmtId="164" fontId="0" fillId="0" borderId="0" xfId="0" applyNumberFormat="1"/>
    <xf numFmtId="10" fontId="0" fillId="0" borderId="0" xfId="1" applyNumberFormat="1" applyFont="1"/>
    <xf numFmtId="0" fontId="5" fillId="0" borderId="0" xfId="0" applyFont="1"/>
    <xf numFmtId="0" fontId="4" fillId="4" borderId="0" xfId="3"/>
    <xf numFmtId="0" fontId="4" fillId="5" borderId="0" xfId="4"/>
    <xf numFmtId="0" fontId="0" fillId="8" borderId="0" xfId="0" applyFill="1"/>
    <xf numFmtId="0" fontId="0" fillId="9" borderId="0" xfId="0" applyFill="1"/>
    <xf numFmtId="0" fontId="0" fillId="10" borderId="0" xfId="0" applyFill="1"/>
    <xf numFmtId="166" fontId="0" fillId="8" borderId="0" xfId="0" applyNumberFormat="1" applyFill="1"/>
    <xf numFmtId="166" fontId="0" fillId="10" borderId="0" xfId="0" applyNumberFormat="1" applyFill="1"/>
    <xf numFmtId="0" fontId="0" fillId="0" borderId="0" xfId="0" applyAlignment="1">
      <alignment horizontal="right"/>
    </xf>
    <xf numFmtId="0" fontId="6" fillId="2" borderId="0" xfId="0" applyFont="1" applyFill="1"/>
    <xf numFmtId="0" fontId="0" fillId="2" borderId="0" xfId="0" applyFill="1"/>
    <xf numFmtId="0" fontId="7" fillId="0" borderId="0" xfId="0" applyFont="1"/>
    <xf numFmtId="0" fontId="0" fillId="0" borderId="2" xfId="0" applyBorder="1"/>
    <xf numFmtId="0" fontId="4" fillId="4" borderId="0" xfId="3" applyAlignment="1">
      <alignment vertical="center"/>
    </xf>
    <xf numFmtId="0" fontId="4" fillId="4" borderId="0" xfId="3" applyAlignment="1">
      <alignment vertical="center" wrapText="1"/>
    </xf>
    <xf numFmtId="9" fontId="4" fillId="4" borderId="0" xfId="3" applyNumberFormat="1" applyAlignment="1">
      <alignment horizontal="center" vertical="center"/>
    </xf>
    <xf numFmtId="0" fontId="5" fillId="0" borderId="2" xfId="0" applyFont="1" applyBorder="1"/>
    <xf numFmtId="0" fontId="4" fillId="6" borderId="0" xfId="6"/>
    <xf numFmtId="0" fontId="0" fillId="7" borderId="7" xfId="0" applyFill="1" applyBorder="1"/>
    <xf numFmtId="0" fontId="0" fillId="7" borderId="6" xfId="0" applyFill="1" applyBorder="1"/>
    <xf numFmtId="14" fontId="0" fillId="7" borderId="7" xfId="0" applyNumberFormat="1" applyFill="1" applyBorder="1"/>
    <xf numFmtId="0" fontId="8" fillId="0" borderId="0" xfId="0" applyFont="1"/>
    <xf numFmtId="0" fontId="9" fillId="0" borderId="0" xfId="0" applyFont="1"/>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10" fillId="8" borderId="0" xfId="0" applyFont="1" applyFill="1" applyAlignment="1">
      <alignment horizontal="left" vertical="center" wrapText="1"/>
    </xf>
    <xf numFmtId="0" fontId="5" fillId="0" borderId="2" xfId="0" applyFont="1" applyBorder="1" applyAlignment="1"/>
  </cellXfs>
  <cellStyles count="7">
    <cellStyle name="Accent1" xfId="3" builtinId="29"/>
    <cellStyle name="Accent2" xfId="6" builtinId="33"/>
    <cellStyle name="Accent5" xfId="4" builtinId="45"/>
    <cellStyle name="Milliers 2" xfId="5" xr:uid="{0637F5BF-A08F-4B17-83B0-59BDCE58A29D}"/>
    <cellStyle name="Normal" xfId="0" builtinId="0"/>
    <cellStyle name="Percent" xfId="1" builtinId="5"/>
    <cellStyle name="Style 1" xfId="2" xr:uid="{866F7696-9D5F-4E35-9917-6C36F139D88E}"/>
  </cellStyles>
  <dxfs count="10">
    <dxf>
      <font>
        <color theme="9"/>
      </font>
    </dxf>
    <dxf>
      <font>
        <color theme="5"/>
      </font>
    </dxf>
    <dxf>
      <font>
        <color rgb="FF9C0006"/>
      </font>
      <fill>
        <patternFill>
          <bgColor rgb="FFFFC7CE"/>
        </patternFill>
      </fill>
    </dxf>
    <dxf>
      <font>
        <color rgb="FF006100"/>
      </font>
      <fill>
        <patternFill>
          <bgColor rgb="FFC6EFCE"/>
        </patternFill>
      </fill>
    </dxf>
    <dxf>
      <font>
        <color theme="0"/>
      </font>
      <fill>
        <patternFill>
          <bgColor theme="9" tint="-0.499984740745262"/>
        </patternFill>
      </fill>
    </dxf>
    <dxf>
      <font>
        <color theme="0"/>
      </font>
      <fill>
        <patternFill>
          <bgColor rgb="FFC00000"/>
        </patternFill>
      </fill>
    </dxf>
    <dxf>
      <font>
        <color theme="9"/>
      </font>
    </dxf>
    <dxf>
      <font>
        <color theme="5"/>
      </font>
    </dxf>
    <dxf>
      <numFmt numFmtId="164" formatCode="_-* #,##0\ [$CHF-100C]_-;\-* #,##0\ [$CHF-100C]_-;_-* &quot;-&quot;??\ [$CHF-100C]_-;_-@_-"/>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1</xdr:col>
      <xdr:colOff>19049</xdr:colOff>
      <xdr:row>0</xdr:row>
      <xdr:rowOff>31248</xdr:rowOff>
    </xdr:from>
    <xdr:ext cx="15135225" cy="843757"/>
    <xdr:sp macro="" textlink="">
      <xdr:nvSpPr>
        <xdr:cNvPr id="2" name="Rectangle 1">
          <a:extLst>
            <a:ext uri="{FF2B5EF4-FFF2-40B4-BE49-F238E27FC236}">
              <a16:creationId xmlns:a16="http://schemas.microsoft.com/office/drawing/2014/main" id="{07927D60-D692-4871-8D82-44A51D4F9BB3}"/>
            </a:ext>
          </a:extLst>
        </xdr:cNvPr>
        <xdr:cNvSpPr/>
      </xdr:nvSpPr>
      <xdr:spPr>
        <a:xfrm>
          <a:off x="1295399" y="31248"/>
          <a:ext cx="1513522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Cell References: Relative, Absolute, and Mixed</a:t>
          </a:r>
        </a:p>
      </xdr:txBody>
    </xdr:sp>
    <xdr:clientData/>
  </xdr:oneCellAnchor>
  <xdr:twoCellAnchor>
    <xdr:from>
      <xdr:col>0</xdr:col>
      <xdr:colOff>180975</xdr:colOff>
      <xdr:row>3</xdr:row>
      <xdr:rowOff>66677</xdr:rowOff>
    </xdr:from>
    <xdr:to>
      <xdr:col>5</xdr:col>
      <xdr:colOff>952500</xdr:colOff>
      <xdr:row>27</xdr:row>
      <xdr:rowOff>142876</xdr:rowOff>
    </xdr:to>
    <xdr:sp macro="" textlink="">
      <xdr:nvSpPr>
        <xdr:cNvPr id="3" name="ZoneTexte 2">
          <a:extLst>
            <a:ext uri="{FF2B5EF4-FFF2-40B4-BE49-F238E27FC236}">
              <a16:creationId xmlns:a16="http://schemas.microsoft.com/office/drawing/2014/main" id="{E2087971-6239-4DF5-9383-55D6E3F406DA}"/>
            </a:ext>
          </a:extLst>
        </xdr:cNvPr>
        <xdr:cNvSpPr txBox="1"/>
      </xdr:nvSpPr>
      <xdr:spPr>
        <a:xfrm>
          <a:off x="180975" y="1295402"/>
          <a:ext cx="4962525" cy="48672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Relative reference</a:t>
          </a:r>
          <a:r>
            <a:rPr lang="fr-CH"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a:solidFill>
                <a:schemeClr val="accent1"/>
              </a:solidFill>
              <a:effectLst/>
              <a:latin typeface="Consolas" panose="020B0609020204030204" pitchFamily="49" charset="0"/>
              <a:ea typeface="+mn-ea"/>
              <a:cs typeface="+mn-cs"/>
            </a:rPr>
            <a:t>B12      C4:C10</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Typical format in formulas, Column Index followed by the row number. This reference is automatically changed if copied to different cells.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prstClr val="black"/>
              </a:solidFill>
              <a:effectLst/>
              <a:uLnTx/>
              <a:uFillTx/>
              <a:latin typeface="Consolas" panose="020B0609020204030204" pitchFamily="49" charset="0"/>
              <a:ea typeface="+mn-ea"/>
              <a:cs typeface="+mn-cs"/>
            </a:rPr>
            <a:t>Absolute </a:t>
          </a:r>
          <a:r>
            <a:rPr kumimoji="0" lang="fr-CH" sz="1400" b="1" i="0" u="none" strike="noStrike" kern="0" cap="none" spc="0" normalizeH="0" baseline="0">
              <a:ln>
                <a:noFill/>
              </a:ln>
              <a:solidFill>
                <a:prstClr val="black"/>
              </a:solidFill>
              <a:effectLst/>
              <a:uLnTx/>
              <a:uFillTx/>
              <a:latin typeface="Consolas" panose="020B0609020204030204" pitchFamily="49" charset="0"/>
              <a:ea typeface="+mn-ea"/>
              <a:cs typeface="+mn-cs"/>
            </a:rPr>
            <a:t>reference</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noProof="0">
              <a:solidFill>
                <a:schemeClr val="accent1"/>
              </a:solidFill>
              <a:effectLst/>
              <a:latin typeface="Consolas" panose="020B0609020204030204" pitchFamily="49" charset="0"/>
              <a:ea typeface="+mn-ea"/>
              <a:cs typeface="+mn-cs"/>
            </a:rPr>
            <a:t>$B$12	C$4:$C$10</a:t>
          </a: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The $ symbol to the left of the dimension freezes the dimension. This reference is blocked and remains the same if copied into different cells.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prstClr val="black"/>
              </a:solidFill>
              <a:effectLst/>
              <a:uLnTx/>
              <a:uFillTx/>
              <a:latin typeface="Consolas" panose="020B0609020204030204" pitchFamily="49" charset="0"/>
              <a:ea typeface="+mn-ea"/>
              <a:cs typeface="+mn-cs"/>
            </a:rPr>
            <a:t>Mixed reference</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noProof="0">
              <a:solidFill>
                <a:schemeClr val="accent1"/>
              </a:solidFill>
              <a:effectLst/>
              <a:latin typeface="Consolas" panose="020B0609020204030204" pitchFamily="49" charset="0"/>
              <a:ea typeface="+mn-ea"/>
              <a:cs typeface="+mn-cs"/>
            </a:rPr>
            <a:t>B$12 $B12		C$4:C$10</a:t>
          </a: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One of the two dimensions is fixed, the other is not. The non-frozen dimension will be automatically changed when copying to different cells.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1" i="1" u="none" strike="noStrike">
              <a:solidFill>
                <a:srgbClr val="C00000"/>
              </a:solidFill>
              <a:effectLst/>
              <a:latin typeface="Consolas" panose="020B0609020204030204" pitchFamily="49" charset="0"/>
              <a:ea typeface="+mn-ea"/>
              <a:cs typeface="+mn-cs"/>
            </a:rPr>
            <a:t>USE F4 to switch between the 4 possible reference states</a:t>
          </a:r>
          <a:r>
            <a:rPr lang="en-US" sz="1400" b="1" i="1" u="none" strike="noStrike" baseline="0">
              <a:solidFill>
                <a:srgbClr val="C00000"/>
              </a:solidFill>
              <a:effectLst/>
              <a:latin typeface="Consolas" panose="020B0609020204030204" pitchFamily="49" charset="0"/>
              <a:ea typeface="+mn-ea"/>
              <a:cs typeface="+mn-cs"/>
            </a:rPr>
            <a:t>.</a:t>
          </a:r>
          <a:endParaRPr lang="en-US" sz="1400" b="1" i="1" u="none" strike="noStrike">
            <a:solidFill>
              <a:srgbClr val="C00000"/>
            </a:solidFill>
            <a:effectLst/>
            <a:latin typeface="Consolas" panose="020B0609020204030204" pitchFamily="49" charset="0"/>
            <a:ea typeface="+mn-ea"/>
            <a:cs typeface="+mn-cs"/>
          </a:endParaRPr>
        </a:p>
      </xdr:txBody>
    </xdr:sp>
    <xdr:clientData/>
  </xdr:twoCellAnchor>
  <xdr:twoCellAnchor>
    <xdr:from>
      <xdr:col>17</xdr:col>
      <xdr:colOff>200025</xdr:colOff>
      <xdr:row>3</xdr:row>
      <xdr:rowOff>66675</xdr:rowOff>
    </xdr:from>
    <xdr:to>
      <xdr:col>24</xdr:col>
      <xdr:colOff>190499</xdr:colOff>
      <xdr:row>27</xdr:row>
      <xdr:rowOff>104775</xdr:rowOff>
    </xdr:to>
    <xdr:sp macro="" textlink="">
      <xdr:nvSpPr>
        <xdr:cNvPr id="4" name="ZoneTexte 3">
          <a:extLst>
            <a:ext uri="{FF2B5EF4-FFF2-40B4-BE49-F238E27FC236}">
              <a16:creationId xmlns:a16="http://schemas.microsoft.com/office/drawing/2014/main" id="{AFE88CD2-ED7E-4B69-9F13-484E079ECD11}"/>
            </a:ext>
          </a:extLst>
        </xdr:cNvPr>
        <xdr:cNvSpPr txBox="1"/>
      </xdr:nvSpPr>
      <xdr:spPr>
        <a:xfrm>
          <a:off x="13154025" y="1295400"/>
          <a:ext cx="4257674" cy="48291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Exercise I1:</a:t>
          </a:r>
          <a:br>
            <a:rPr lang="fr-CH" sz="1400" b="0" i="0" u="none" strike="noStrike" baseline="0">
              <a:solidFill>
                <a:schemeClr val="dk1"/>
              </a:solidFill>
              <a:effectLst/>
              <a:latin typeface="Consolas" panose="020B0609020204030204" pitchFamily="49" charset="0"/>
              <a:ea typeface="+mn-ea"/>
              <a:cs typeface="+mn-cs"/>
            </a:rPr>
          </a:br>
          <a:r>
            <a:rPr lang="fr-CH" sz="1400" b="0" i="0" u="none" strike="noStrike" baseline="0">
              <a:solidFill>
                <a:schemeClr val="dk1"/>
              </a:solidFill>
              <a:effectLst/>
              <a:latin typeface="Consolas" panose="020B0609020204030204" pitchFamily="49" charset="0"/>
              <a:ea typeface="+mn-ea"/>
              <a:cs typeface="+mn-cs"/>
            </a:rPr>
            <a:t>1. Calculate the amounts in the [ TOTAL] column. </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2. Complete the sales price simulation table with a single formula. Use the % values in the column headers to calculate the sum of the total price and profit. 3. Change the formula so that the total includes VAT. The amount is defined in the 'Variables' cell!$H$</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3. Create a vatCH defined name to finalize your formula. </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4. Round all amounts to the nearest unit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819151</xdr:colOff>
      <xdr:row>1</xdr:row>
      <xdr:rowOff>47625</xdr:rowOff>
    </xdr:from>
    <xdr:to>
      <xdr:col>3</xdr:col>
      <xdr:colOff>590550</xdr:colOff>
      <xdr:row>25</xdr:row>
      <xdr:rowOff>155632</xdr:rowOff>
    </xdr:to>
    <xdr:pic>
      <xdr:nvPicPr>
        <xdr:cNvPr id="4" name="Picture 3">
          <a:extLst>
            <a:ext uri="{FF2B5EF4-FFF2-40B4-BE49-F238E27FC236}">
              <a16:creationId xmlns:a16="http://schemas.microsoft.com/office/drawing/2014/main" id="{49ECB93F-AF65-F068-4ED7-980462380ED7}"/>
            </a:ext>
          </a:extLst>
        </xdr:cNvPr>
        <xdr:cNvPicPr>
          <a:picLocks noChangeAspect="1"/>
        </xdr:cNvPicPr>
      </xdr:nvPicPr>
      <xdr:blipFill rotWithShape="1">
        <a:blip xmlns:r="http://schemas.openxmlformats.org/officeDocument/2006/relationships" r:embed="rId1"/>
        <a:srcRect r="14695"/>
        <a:stretch>
          <a:fillRect/>
        </a:stretch>
      </xdr:blipFill>
      <xdr:spPr>
        <a:xfrm>
          <a:off x="819151" y="981075"/>
          <a:ext cx="2266949" cy="4918132"/>
        </a:xfrm>
        <a:prstGeom prst="rect">
          <a:avLst/>
        </a:prstGeom>
      </xdr:spPr>
    </xdr:pic>
    <xdr:clientData/>
  </xdr:twoCellAnchor>
  <xdr:oneCellAnchor>
    <xdr:from>
      <xdr:col>1</xdr:col>
      <xdr:colOff>19049</xdr:colOff>
      <xdr:row>0</xdr:row>
      <xdr:rowOff>31248</xdr:rowOff>
    </xdr:from>
    <xdr:ext cx="15135225" cy="843757"/>
    <xdr:sp macro="" textlink="">
      <xdr:nvSpPr>
        <xdr:cNvPr id="2" name="Rectangle 1">
          <a:extLst>
            <a:ext uri="{FF2B5EF4-FFF2-40B4-BE49-F238E27FC236}">
              <a16:creationId xmlns:a16="http://schemas.microsoft.com/office/drawing/2014/main" id="{135D8C56-4F13-4B9C-8228-2266162EE6E7}"/>
            </a:ext>
          </a:extLst>
        </xdr:cNvPr>
        <xdr:cNvSpPr/>
      </xdr:nvSpPr>
      <xdr:spPr>
        <a:xfrm>
          <a:off x="1295399" y="31248"/>
          <a:ext cx="1513522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Conditional Formatting </a:t>
          </a:r>
        </a:p>
      </xdr:txBody>
    </xdr:sp>
    <xdr:clientData/>
  </xdr:oneCellAnchor>
  <xdr:twoCellAnchor>
    <xdr:from>
      <xdr:col>6</xdr:col>
      <xdr:colOff>19050</xdr:colOff>
      <xdr:row>2</xdr:row>
      <xdr:rowOff>133350</xdr:rowOff>
    </xdr:from>
    <xdr:to>
      <xdr:col>17</xdr:col>
      <xdr:colOff>295275</xdr:colOff>
      <xdr:row>5</xdr:row>
      <xdr:rowOff>161925</xdr:rowOff>
    </xdr:to>
    <xdr:sp macro="" textlink="">
      <xdr:nvSpPr>
        <xdr:cNvPr id="3" name="ZoneTexte 2">
          <a:extLst>
            <a:ext uri="{FF2B5EF4-FFF2-40B4-BE49-F238E27FC236}">
              <a16:creationId xmlns:a16="http://schemas.microsoft.com/office/drawing/2014/main" id="{F929744A-73C5-414C-921F-A6D0BBB4D1B9}"/>
            </a:ext>
          </a:extLst>
        </xdr:cNvPr>
        <xdr:cNvSpPr txBox="1"/>
      </xdr:nvSpPr>
      <xdr:spPr>
        <a:xfrm>
          <a:off x="4819650" y="1162050"/>
          <a:ext cx="7667625" cy="6000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Conditional formatting</a:t>
          </a:r>
          <a:r>
            <a:rPr lang="fr-CH"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Sets visual highlighting rules for certain cells.</a:t>
          </a: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 </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4</xdr:col>
      <xdr:colOff>47625</xdr:colOff>
      <xdr:row>7</xdr:row>
      <xdr:rowOff>161925</xdr:rowOff>
    </xdr:from>
    <xdr:to>
      <xdr:col>5</xdr:col>
      <xdr:colOff>590550</xdr:colOff>
      <xdr:row>8</xdr:row>
      <xdr:rowOff>142875</xdr:rowOff>
    </xdr:to>
    <xdr:cxnSp macro="">
      <xdr:nvCxnSpPr>
        <xdr:cNvPr id="7" name="Connecteur droit 6">
          <a:extLst>
            <a:ext uri="{FF2B5EF4-FFF2-40B4-BE49-F238E27FC236}">
              <a16:creationId xmlns:a16="http://schemas.microsoft.com/office/drawing/2014/main" id="{9407BC80-B07B-E99A-653F-F91D1F1A1392}"/>
            </a:ext>
          </a:extLst>
        </xdr:cNvPr>
        <xdr:cNvCxnSpPr/>
      </xdr:nvCxnSpPr>
      <xdr:spPr>
        <a:xfrm flipV="1">
          <a:off x="3152775" y="2143125"/>
          <a:ext cx="1628775" cy="219075"/>
        </a:xfrm>
        <a:prstGeom prst="line">
          <a:avLst/>
        </a:prstGeom>
        <a:ln w="28575" cap="flat" cmpd="sng" algn="ctr">
          <a:solidFill>
            <a:schemeClr val="accent1"/>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600075</xdr:colOff>
      <xdr:row>9</xdr:row>
      <xdr:rowOff>95250</xdr:rowOff>
    </xdr:from>
    <xdr:to>
      <xdr:col>5</xdr:col>
      <xdr:colOff>600075</xdr:colOff>
      <xdr:row>10</xdr:row>
      <xdr:rowOff>152400</xdr:rowOff>
    </xdr:to>
    <xdr:cxnSp macro="">
      <xdr:nvCxnSpPr>
        <xdr:cNvPr id="11" name="Connecteur droit 10">
          <a:extLst>
            <a:ext uri="{FF2B5EF4-FFF2-40B4-BE49-F238E27FC236}">
              <a16:creationId xmlns:a16="http://schemas.microsoft.com/office/drawing/2014/main" id="{A59E84B8-9D7F-4CEB-BD2F-F2F1DF58FF06}"/>
            </a:ext>
          </a:extLst>
        </xdr:cNvPr>
        <xdr:cNvCxnSpPr/>
      </xdr:nvCxnSpPr>
      <xdr:spPr>
        <a:xfrm flipV="1">
          <a:off x="3095625" y="2552700"/>
          <a:ext cx="1695450" cy="295275"/>
        </a:xfrm>
        <a:prstGeom prst="line">
          <a:avLst/>
        </a:prstGeom>
        <a:ln w="28575" cap="flat" cmpd="sng" algn="ctr">
          <a:solidFill>
            <a:schemeClr val="accent1"/>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590550</xdr:colOff>
      <xdr:row>13</xdr:row>
      <xdr:rowOff>133350</xdr:rowOff>
    </xdr:from>
    <xdr:to>
      <xdr:col>5</xdr:col>
      <xdr:colOff>590550</xdr:colOff>
      <xdr:row>13</xdr:row>
      <xdr:rowOff>173066</xdr:rowOff>
    </xdr:to>
    <xdr:cxnSp macro="">
      <xdr:nvCxnSpPr>
        <xdr:cNvPr id="12" name="Connecteur droit 11">
          <a:extLst>
            <a:ext uri="{FF2B5EF4-FFF2-40B4-BE49-F238E27FC236}">
              <a16:creationId xmlns:a16="http://schemas.microsoft.com/office/drawing/2014/main" id="{B61963CB-4C91-4765-BB1B-F4B12702D2E1}"/>
            </a:ext>
          </a:extLst>
        </xdr:cNvPr>
        <xdr:cNvCxnSpPr>
          <a:cxnSpLocks/>
          <a:stCxn id="4" idx="3"/>
        </xdr:cNvCxnSpPr>
      </xdr:nvCxnSpPr>
      <xdr:spPr>
        <a:xfrm flipV="1">
          <a:off x="3086100" y="3400425"/>
          <a:ext cx="1695450" cy="39716"/>
        </a:xfrm>
        <a:prstGeom prst="line">
          <a:avLst/>
        </a:prstGeom>
        <a:ln w="28575" cap="flat" cmpd="sng" algn="ctr">
          <a:solidFill>
            <a:schemeClr val="accent1"/>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28575</xdr:colOff>
      <xdr:row>15</xdr:row>
      <xdr:rowOff>66675</xdr:rowOff>
    </xdr:from>
    <xdr:to>
      <xdr:col>5</xdr:col>
      <xdr:colOff>561975</xdr:colOff>
      <xdr:row>15</xdr:row>
      <xdr:rowOff>180975</xdr:rowOff>
    </xdr:to>
    <xdr:cxnSp macro="">
      <xdr:nvCxnSpPr>
        <xdr:cNvPr id="14" name="Connecteur droit 13">
          <a:extLst>
            <a:ext uri="{FF2B5EF4-FFF2-40B4-BE49-F238E27FC236}">
              <a16:creationId xmlns:a16="http://schemas.microsoft.com/office/drawing/2014/main" id="{3DA32104-0672-47AB-98EA-950910AEFC2C}"/>
            </a:ext>
          </a:extLst>
        </xdr:cNvPr>
        <xdr:cNvCxnSpPr/>
      </xdr:nvCxnSpPr>
      <xdr:spPr>
        <a:xfrm flipV="1">
          <a:off x="3133725" y="3762375"/>
          <a:ext cx="1619250" cy="114300"/>
        </a:xfrm>
        <a:prstGeom prst="line">
          <a:avLst/>
        </a:prstGeom>
        <a:ln w="28575" cap="flat" cmpd="sng" algn="ctr">
          <a:solidFill>
            <a:schemeClr val="accent1"/>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600075</xdr:colOff>
      <xdr:row>17</xdr:row>
      <xdr:rowOff>76200</xdr:rowOff>
    </xdr:from>
    <xdr:to>
      <xdr:col>5</xdr:col>
      <xdr:colOff>533400</xdr:colOff>
      <xdr:row>18</xdr:row>
      <xdr:rowOff>66675</xdr:rowOff>
    </xdr:to>
    <xdr:cxnSp macro="">
      <xdr:nvCxnSpPr>
        <xdr:cNvPr id="15" name="Connecteur droit 14">
          <a:extLst>
            <a:ext uri="{FF2B5EF4-FFF2-40B4-BE49-F238E27FC236}">
              <a16:creationId xmlns:a16="http://schemas.microsoft.com/office/drawing/2014/main" id="{492D7A8B-2D5E-44BA-A155-56FA16E68EE4}"/>
            </a:ext>
          </a:extLst>
        </xdr:cNvPr>
        <xdr:cNvCxnSpPr/>
      </xdr:nvCxnSpPr>
      <xdr:spPr>
        <a:xfrm flipV="1">
          <a:off x="3095625" y="4200525"/>
          <a:ext cx="1628775" cy="228600"/>
        </a:xfrm>
        <a:prstGeom prst="line">
          <a:avLst/>
        </a:prstGeom>
        <a:ln w="28575" cap="flat" cmpd="sng" algn="ctr">
          <a:solidFill>
            <a:schemeClr val="accent1"/>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161925</xdr:colOff>
      <xdr:row>20</xdr:row>
      <xdr:rowOff>85725</xdr:rowOff>
    </xdr:from>
    <xdr:to>
      <xdr:col>4</xdr:col>
      <xdr:colOff>361950</xdr:colOff>
      <xdr:row>24</xdr:row>
      <xdr:rowOff>0</xdr:rowOff>
    </xdr:to>
    <xdr:sp macro="" textlink="">
      <xdr:nvSpPr>
        <xdr:cNvPr id="30" name="Accolade fermante 29">
          <a:extLst>
            <a:ext uri="{FF2B5EF4-FFF2-40B4-BE49-F238E27FC236}">
              <a16:creationId xmlns:a16="http://schemas.microsoft.com/office/drawing/2014/main" id="{995E8F7A-2F43-4513-93E4-D2F620D37DC2}"/>
            </a:ext>
          </a:extLst>
        </xdr:cNvPr>
        <xdr:cNvSpPr/>
      </xdr:nvSpPr>
      <xdr:spPr>
        <a:xfrm>
          <a:off x="3267075" y="4829175"/>
          <a:ext cx="200025" cy="723900"/>
        </a:xfrm>
        <a:prstGeom prst="rightBrace">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361950</xdr:colOff>
      <xdr:row>20</xdr:row>
      <xdr:rowOff>95250</xdr:rowOff>
    </xdr:from>
    <xdr:to>
      <xdr:col>5</xdr:col>
      <xdr:colOff>561975</xdr:colOff>
      <xdr:row>22</xdr:row>
      <xdr:rowOff>19050</xdr:rowOff>
    </xdr:to>
    <xdr:cxnSp macro="">
      <xdr:nvCxnSpPr>
        <xdr:cNvPr id="31" name="Connecteur droit 30">
          <a:extLst>
            <a:ext uri="{FF2B5EF4-FFF2-40B4-BE49-F238E27FC236}">
              <a16:creationId xmlns:a16="http://schemas.microsoft.com/office/drawing/2014/main" id="{CFB205C2-604B-4CD9-A20D-504FA051F70A}"/>
            </a:ext>
          </a:extLst>
        </xdr:cNvPr>
        <xdr:cNvCxnSpPr>
          <a:stCxn id="30" idx="1"/>
        </xdr:cNvCxnSpPr>
      </xdr:nvCxnSpPr>
      <xdr:spPr>
        <a:xfrm flipV="1">
          <a:off x="3467100" y="4838700"/>
          <a:ext cx="1285875" cy="352425"/>
        </a:xfrm>
        <a:prstGeom prst="line">
          <a:avLst/>
        </a:prstGeom>
        <a:ln w="28575" cap="flat" cmpd="sng" algn="ctr">
          <a:solidFill>
            <a:schemeClr val="accent1"/>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19049</xdr:colOff>
      <xdr:row>0</xdr:row>
      <xdr:rowOff>31248</xdr:rowOff>
    </xdr:from>
    <xdr:ext cx="15135225" cy="843757"/>
    <xdr:sp macro="" textlink="">
      <xdr:nvSpPr>
        <xdr:cNvPr id="2" name="Rectangle 1">
          <a:extLst>
            <a:ext uri="{FF2B5EF4-FFF2-40B4-BE49-F238E27FC236}">
              <a16:creationId xmlns:a16="http://schemas.microsoft.com/office/drawing/2014/main" id="{C67F30A6-9D56-4CD8-81F9-3A06D383B4FD}"/>
            </a:ext>
          </a:extLst>
        </xdr:cNvPr>
        <xdr:cNvSpPr/>
      </xdr:nvSpPr>
      <xdr:spPr>
        <a:xfrm>
          <a:off x="1295399" y="31248"/>
          <a:ext cx="1513522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Exercise :</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a:t>
          </a: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Conditional Formatting and chart</a:t>
          </a:r>
        </a:p>
      </xdr:txBody>
    </xdr:sp>
    <xdr:clientData/>
  </xdr:oneCellAnchor>
  <xdr:twoCellAnchor>
    <xdr:from>
      <xdr:col>6</xdr:col>
      <xdr:colOff>552450</xdr:colOff>
      <xdr:row>2</xdr:row>
      <xdr:rowOff>180976</xdr:rowOff>
    </xdr:from>
    <xdr:to>
      <xdr:col>20</xdr:col>
      <xdr:colOff>209550</xdr:colOff>
      <xdr:row>17</xdr:row>
      <xdr:rowOff>76200</xdr:rowOff>
    </xdr:to>
    <xdr:sp macro="" textlink="">
      <xdr:nvSpPr>
        <xdr:cNvPr id="3" name="ZoneTexte 2">
          <a:extLst>
            <a:ext uri="{FF2B5EF4-FFF2-40B4-BE49-F238E27FC236}">
              <a16:creationId xmlns:a16="http://schemas.microsoft.com/office/drawing/2014/main" id="{369CD813-1D89-4202-86AA-F5E1A450D575}"/>
            </a:ext>
          </a:extLst>
        </xdr:cNvPr>
        <xdr:cNvSpPr txBox="1"/>
      </xdr:nvSpPr>
      <xdr:spPr>
        <a:xfrm>
          <a:off x="5353050" y="1209676"/>
          <a:ext cx="8877300" cy="275272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Conditional Formatting </a:t>
          </a:r>
          <a:r>
            <a:rPr lang="fr-CH"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Insert conditional formatting in the [TOTAL] column (data bar)</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a:solidFill>
                <a:schemeClr val="accent2">
                  <a:lumMod val="50000"/>
                </a:schemeClr>
              </a:solidFill>
              <a:effectLst/>
              <a:latin typeface="Consolas" panose="020B0609020204030204" pitchFamily="49" charset="0"/>
              <a:ea typeface="+mn-ea"/>
              <a:cs typeface="+mn-cs"/>
            </a:rPr>
            <a:t>Home &gt; Cond. Formatting &gt; Data bar.</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How do you make sure that the bars don't overlap the numbers? Calculate the max of this column and use the result in the maximum value of the created rule.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Insert formatting cond. (highlighted) the top 3 (in green) and bottom 3 (in red) of the rank values calculated in column F. Insert the formula that calculates the maximum value of the rows in a cell. </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Add formatting that highlights the row of the best (green) and worst (red) in the table.</a:t>
          </a:r>
        </a:p>
      </xdr:txBody>
    </xdr:sp>
    <xdr:clientData/>
  </xdr:twoCellAnchor>
  <xdr:twoCellAnchor>
    <xdr:from>
      <xdr:col>6</xdr:col>
      <xdr:colOff>571500</xdr:colOff>
      <xdr:row>18</xdr:row>
      <xdr:rowOff>142876</xdr:rowOff>
    </xdr:from>
    <xdr:to>
      <xdr:col>20</xdr:col>
      <xdr:colOff>228600</xdr:colOff>
      <xdr:row>31</xdr:row>
      <xdr:rowOff>66676</xdr:rowOff>
    </xdr:to>
    <xdr:sp macro="" textlink="">
      <xdr:nvSpPr>
        <xdr:cNvPr id="4" name="ZoneTexte 3">
          <a:extLst>
            <a:ext uri="{FF2B5EF4-FFF2-40B4-BE49-F238E27FC236}">
              <a16:creationId xmlns:a16="http://schemas.microsoft.com/office/drawing/2014/main" id="{685E7224-60ED-4661-84DF-5AB32F8C33BF}"/>
            </a:ext>
          </a:extLst>
        </xdr:cNvPr>
        <xdr:cNvSpPr txBox="1"/>
      </xdr:nvSpPr>
      <xdr:spPr>
        <a:xfrm>
          <a:off x="5372100" y="4219576"/>
          <a:ext cx="8877300" cy="240030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Lollipop chart: Use the symbols in cells H29:H31 to create a pseudo-graph by a formula using the REPT function by repeating the line proportionally to the total divided by a scale factor defined in I4. </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Apply two formatting cond. with formula to put the same colors at the 3 lollipops max and min. Sort the table to verify that the lollipop is dynamic.</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19050</xdr:colOff>
      <xdr:row>0</xdr:row>
      <xdr:rowOff>31248</xdr:rowOff>
    </xdr:from>
    <xdr:ext cx="13601700" cy="843757"/>
    <xdr:sp macro="" textlink="">
      <xdr:nvSpPr>
        <xdr:cNvPr id="4" name="Rectangle 3">
          <a:extLst>
            <a:ext uri="{FF2B5EF4-FFF2-40B4-BE49-F238E27FC236}">
              <a16:creationId xmlns:a16="http://schemas.microsoft.com/office/drawing/2014/main" id="{B62A1540-C713-4C18-8BF3-2CD83A441644}"/>
            </a:ext>
          </a:extLst>
        </xdr:cNvPr>
        <xdr:cNvSpPr/>
      </xdr:nvSpPr>
      <xdr:spPr>
        <a:xfrm>
          <a:off x="1295400" y="31248"/>
          <a:ext cx="13601700"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Solution exercise I2</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352425</xdr:colOff>
      <xdr:row>3</xdr:row>
      <xdr:rowOff>76201</xdr:rowOff>
    </xdr:from>
    <xdr:to>
      <xdr:col>6</xdr:col>
      <xdr:colOff>238125</xdr:colOff>
      <xdr:row>16</xdr:row>
      <xdr:rowOff>19051</xdr:rowOff>
    </xdr:to>
    <xdr:sp macro="" textlink="">
      <xdr:nvSpPr>
        <xdr:cNvPr id="2" name="ZoneTexte 1">
          <a:extLst>
            <a:ext uri="{FF2B5EF4-FFF2-40B4-BE49-F238E27FC236}">
              <a16:creationId xmlns:a16="http://schemas.microsoft.com/office/drawing/2014/main" id="{C2371284-260F-32A6-708A-ABC326C763D6}"/>
            </a:ext>
          </a:extLst>
        </xdr:cNvPr>
        <xdr:cNvSpPr txBox="1"/>
      </xdr:nvSpPr>
      <xdr:spPr>
        <a:xfrm>
          <a:off x="352425" y="1295401"/>
          <a:ext cx="4457700" cy="24669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With data validation, you can force the contents of a cell to be: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 an integer (or decimal).</a:t>
          </a:r>
          <a:br>
            <a:rPr lang="en-US" sz="1400" b="0" i="0" u="none" strike="noStrike">
              <a:solidFill>
                <a:schemeClr val="dk1"/>
              </a:solidFill>
              <a:effectLst/>
              <a:latin typeface="Consolas" panose="020B0609020204030204" pitchFamily="49" charset="0"/>
              <a:ea typeface="+mn-ea"/>
              <a:cs typeface="+mn-cs"/>
            </a:rPr>
          </a:br>
          <a:r>
            <a:rPr lang="en-US" sz="1400" b="0" i="0" u="none" strike="noStrike">
              <a:solidFill>
                <a:schemeClr val="dk1"/>
              </a:solidFill>
              <a:effectLst/>
              <a:latin typeface="Consolas" panose="020B0609020204030204" pitchFamily="49" charset="0"/>
              <a:ea typeface="+mn-ea"/>
              <a:cs typeface="+mn-cs"/>
            </a:rPr>
            <a:t>▶ a date (or time) range.</a:t>
          </a:r>
          <a:br>
            <a:rPr lang="en-US" sz="1400" b="0" i="0" u="none" strike="noStrike">
              <a:solidFill>
                <a:schemeClr val="dk1"/>
              </a:solidFill>
              <a:effectLst/>
              <a:latin typeface="Consolas" panose="020B0609020204030204" pitchFamily="49" charset="0"/>
              <a:ea typeface="+mn-ea"/>
              <a:cs typeface="+mn-cs"/>
            </a:rPr>
          </a:br>
          <a:r>
            <a:rPr lang="en-US" sz="1400" b="0" i="0" u="none" strike="noStrike">
              <a:solidFill>
                <a:schemeClr val="dk1"/>
              </a:solidFill>
              <a:effectLst/>
              <a:latin typeface="Consolas" panose="020B0609020204030204" pitchFamily="49" charset="0"/>
              <a:ea typeface="+mn-ea"/>
              <a:cs typeface="+mn-cs"/>
            </a:rPr>
            <a:t>▶ a fixed-length text.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 managed by a formula.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 a list of choices.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a:effectLst/>
            </a:rPr>
            <a:t>To insert a data validation:</a:t>
          </a:r>
          <a:br>
            <a:rPr lang="en-US" sz="1400">
              <a:effectLst/>
            </a:rPr>
          </a:br>
          <a:r>
            <a:rPr lang="en-US" sz="1400" b="1">
              <a:solidFill>
                <a:schemeClr val="accent2">
                  <a:lumMod val="50000"/>
                </a:schemeClr>
              </a:solidFill>
              <a:effectLst/>
            </a:rPr>
            <a:t>Data &gt; (Data Tools) Data Validation</a:t>
          </a:r>
        </a:p>
      </xdr:txBody>
    </xdr:sp>
    <xdr:clientData/>
  </xdr:twoCellAnchor>
  <xdr:oneCellAnchor>
    <xdr:from>
      <xdr:col>1</xdr:col>
      <xdr:colOff>85725</xdr:colOff>
      <xdr:row>0</xdr:row>
      <xdr:rowOff>31248</xdr:rowOff>
    </xdr:from>
    <xdr:ext cx="12906375" cy="843757"/>
    <xdr:sp macro="" textlink="">
      <xdr:nvSpPr>
        <xdr:cNvPr id="4" name="Rectangle 3">
          <a:extLst>
            <a:ext uri="{FF2B5EF4-FFF2-40B4-BE49-F238E27FC236}">
              <a16:creationId xmlns:a16="http://schemas.microsoft.com/office/drawing/2014/main" id="{EB987948-03E3-4D26-9C30-BDA9C8439018}"/>
            </a:ext>
          </a:extLst>
        </xdr:cNvPr>
        <xdr:cNvSpPr/>
      </xdr:nvSpPr>
      <xdr:spPr>
        <a:xfrm>
          <a:off x="847725" y="31248"/>
          <a:ext cx="1290637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Validation de données</a:t>
          </a:r>
        </a:p>
      </xdr:txBody>
    </xdr:sp>
    <xdr:clientData/>
  </xdr:oneCellAnchor>
  <xdr:twoCellAnchor>
    <xdr:from>
      <xdr:col>14</xdr:col>
      <xdr:colOff>647700</xdr:colOff>
      <xdr:row>3</xdr:row>
      <xdr:rowOff>9526</xdr:rowOff>
    </xdr:from>
    <xdr:to>
      <xdr:col>19</xdr:col>
      <xdr:colOff>447675</xdr:colOff>
      <xdr:row>8</xdr:row>
      <xdr:rowOff>142875</xdr:rowOff>
    </xdr:to>
    <xdr:sp macro="" textlink="">
      <xdr:nvSpPr>
        <xdr:cNvPr id="7" name="ZoneTexte 6">
          <a:extLst>
            <a:ext uri="{FF2B5EF4-FFF2-40B4-BE49-F238E27FC236}">
              <a16:creationId xmlns:a16="http://schemas.microsoft.com/office/drawing/2014/main" id="{9775C08C-7F9A-433D-B720-7979DF8643B3}"/>
            </a:ext>
          </a:extLst>
        </xdr:cNvPr>
        <xdr:cNvSpPr txBox="1"/>
      </xdr:nvSpPr>
      <xdr:spPr>
        <a:xfrm>
          <a:off x="11315700" y="1228726"/>
          <a:ext cx="3609975" cy="10953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Insérez</a:t>
          </a:r>
          <a:r>
            <a:rPr lang="fr-CH" sz="1400" b="0" i="0" u="none" strike="noStrike" baseline="0">
              <a:solidFill>
                <a:schemeClr val="dk1"/>
              </a:solidFill>
              <a:effectLst/>
              <a:latin typeface="Consolas" panose="020B0609020204030204" pitchFamily="49" charset="0"/>
              <a:ea typeface="+mn-ea"/>
              <a:cs typeface="+mn-cs"/>
            </a:rPr>
            <a:t> une validation de données qui limite la saisie à un nombre entier entre 1000 et 9999.</a:t>
          </a:r>
          <a:endParaRPr lang="en-US" sz="1400" b="1">
            <a:solidFill>
              <a:schemeClr val="accent2">
                <a:lumMod val="50000"/>
              </a:schemeClr>
            </a:solidFill>
            <a:effectLst/>
          </a:endParaRPr>
        </a:p>
      </xdr:txBody>
    </xdr:sp>
    <xdr:clientData/>
  </xdr:twoCellAnchor>
  <xdr:twoCellAnchor>
    <xdr:from>
      <xdr:col>14</xdr:col>
      <xdr:colOff>657225</xdr:colOff>
      <xdr:row>11</xdr:row>
      <xdr:rowOff>28576</xdr:rowOff>
    </xdr:from>
    <xdr:to>
      <xdr:col>19</xdr:col>
      <xdr:colOff>457200</xdr:colOff>
      <xdr:row>16</xdr:row>
      <xdr:rowOff>152400</xdr:rowOff>
    </xdr:to>
    <xdr:sp macro="" textlink="">
      <xdr:nvSpPr>
        <xdr:cNvPr id="8" name="ZoneTexte 7">
          <a:extLst>
            <a:ext uri="{FF2B5EF4-FFF2-40B4-BE49-F238E27FC236}">
              <a16:creationId xmlns:a16="http://schemas.microsoft.com/office/drawing/2014/main" id="{DD0F8617-2F33-460B-91F4-5F0891D81C04}"/>
            </a:ext>
          </a:extLst>
        </xdr:cNvPr>
        <xdr:cNvSpPr txBox="1"/>
      </xdr:nvSpPr>
      <xdr:spPr>
        <a:xfrm>
          <a:off x="11325225" y="2828926"/>
          <a:ext cx="3609975" cy="11334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Insérez</a:t>
          </a:r>
          <a:r>
            <a:rPr lang="fr-CH" sz="1400" b="0" i="0" u="none" strike="noStrike" baseline="0">
              <a:solidFill>
                <a:schemeClr val="dk1"/>
              </a:solidFill>
              <a:effectLst/>
              <a:latin typeface="Consolas" panose="020B0609020204030204" pitchFamily="49" charset="0"/>
              <a:ea typeface="+mn-ea"/>
              <a:cs typeface="+mn-cs"/>
            </a:rPr>
            <a:t> une date en 2025.</a:t>
          </a:r>
          <a:endParaRPr lang="en-US" sz="1400" b="1">
            <a:solidFill>
              <a:schemeClr val="accent2">
                <a:lumMod val="50000"/>
              </a:schemeClr>
            </a:solidFill>
            <a:effectLst/>
          </a:endParaRPr>
        </a:p>
      </xdr:txBody>
    </xdr:sp>
    <xdr:clientData/>
  </xdr:twoCellAnchor>
  <xdr:twoCellAnchor>
    <xdr:from>
      <xdr:col>14</xdr:col>
      <xdr:colOff>666750</xdr:colOff>
      <xdr:row>19</xdr:row>
      <xdr:rowOff>9526</xdr:rowOff>
    </xdr:from>
    <xdr:to>
      <xdr:col>19</xdr:col>
      <xdr:colOff>466725</xdr:colOff>
      <xdr:row>24</xdr:row>
      <xdr:rowOff>180975</xdr:rowOff>
    </xdr:to>
    <xdr:sp macro="" textlink="">
      <xdr:nvSpPr>
        <xdr:cNvPr id="9" name="ZoneTexte 8">
          <a:extLst>
            <a:ext uri="{FF2B5EF4-FFF2-40B4-BE49-F238E27FC236}">
              <a16:creationId xmlns:a16="http://schemas.microsoft.com/office/drawing/2014/main" id="{EA88214F-464C-4FE0-A6DD-D1B556316E4D}"/>
            </a:ext>
          </a:extLst>
        </xdr:cNvPr>
        <xdr:cNvSpPr txBox="1"/>
      </xdr:nvSpPr>
      <xdr:spPr>
        <a:xfrm>
          <a:off x="11334750" y="4448176"/>
          <a:ext cx="3609975" cy="11334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Insérez</a:t>
          </a:r>
          <a:r>
            <a:rPr lang="fr-CH" sz="1400" b="0" i="0" u="none" strike="noStrike" baseline="0">
              <a:solidFill>
                <a:schemeClr val="dk1"/>
              </a:solidFill>
              <a:effectLst/>
              <a:latin typeface="Consolas" panose="020B0609020204030204" pitchFamily="49" charset="0"/>
              <a:ea typeface="+mn-ea"/>
              <a:cs typeface="+mn-cs"/>
            </a:rPr>
            <a:t> une validation de données qui limite le total des valeurs en N21:N25 à la valeur en N26.</a:t>
          </a:r>
          <a:endParaRPr lang="en-US" sz="1400" b="1">
            <a:solidFill>
              <a:schemeClr val="accent2">
                <a:lumMod val="50000"/>
              </a:schemeClr>
            </a:solidFill>
            <a:effectLst/>
          </a:endParaRPr>
        </a:p>
      </xdr:txBody>
    </xdr:sp>
    <xdr:clientData/>
  </xdr:twoCellAnchor>
  <xdr:twoCellAnchor>
    <xdr:from>
      <xdr:col>14</xdr:col>
      <xdr:colOff>666750</xdr:colOff>
      <xdr:row>26</xdr:row>
      <xdr:rowOff>152401</xdr:rowOff>
    </xdr:from>
    <xdr:to>
      <xdr:col>19</xdr:col>
      <xdr:colOff>466725</xdr:colOff>
      <xdr:row>31</xdr:row>
      <xdr:rowOff>28575</xdr:rowOff>
    </xdr:to>
    <xdr:sp macro="" textlink="">
      <xdr:nvSpPr>
        <xdr:cNvPr id="10" name="ZoneTexte 9">
          <a:extLst>
            <a:ext uri="{FF2B5EF4-FFF2-40B4-BE49-F238E27FC236}">
              <a16:creationId xmlns:a16="http://schemas.microsoft.com/office/drawing/2014/main" id="{90A480A0-4A53-48F9-8CA9-1AFD61332B4F}"/>
            </a:ext>
          </a:extLst>
        </xdr:cNvPr>
        <xdr:cNvSpPr txBox="1"/>
      </xdr:nvSpPr>
      <xdr:spPr>
        <a:xfrm>
          <a:off x="11334750" y="6019801"/>
          <a:ext cx="3609975" cy="85724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Insérez</a:t>
          </a:r>
          <a:r>
            <a:rPr lang="fr-CH" sz="1400" b="0" i="0" u="none" strike="noStrike" baseline="0">
              <a:solidFill>
                <a:schemeClr val="dk1"/>
              </a:solidFill>
              <a:effectLst/>
              <a:latin typeface="Consolas" panose="020B0609020204030204" pitchFamily="49" charset="0"/>
              <a:ea typeface="+mn-ea"/>
              <a:cs typeface="+mn-cs"/>
            </a:rPr>
            <a:t> une validation de données qui impose que le texte commence par 'PROD' (sensible à la casse).</a:t>
          </a:r>
          <a:endParaRPr lang="en-US" sz="1400" b="1">
            <a:solidFill>
              <a:schemeClr val="accent2">
                <a:lumMod val="50000"/>
              </a:schemeClr>
            </a:solidFill>
            <a:effectLst/>
          </a:endParaRPr>
        </a:p>
      </xdr:txBody>
    </xdr:sp>
    <xdr:clientData/>
  </xdr:twoCellAnchor>
  <xdr:twoCellAnchor editAs="oneCell">
    <xdr:from>
      <xdr:col>1</xdr:col>
      <xdr:colOff>228600</xdr:colOff>
      <xdr:row>18</xdr:row>
      <xdr:rowOff>209550</xdr:rowOff>
    </xdr:from>
    <xdr:to>
      <xdr:col>5</xdr:col>
      <xdr:colOff>171867</xdr:colOff>
      <xdr:row>27</xdr:row>
      <xdr:rowOff>38330</xdr:rowOff>
    </xdr:to>
    <xdr:pic>
      <xdr:nvPicPr>
        <xdr:cNvPr id="11" name="Picture 10">
          <a:extLst>
            <a:ext uri="{FF2B5EF4-FFF2-40B4-BE49-F238E27FC236}">
              <a16:creationId xmlns:a16="http://schemas.microsoft.com/office/drawing/2014/main" id="{E3773EEF-1891-1E87-957B-CE179484D203}"/>
            </a:ext>
          </a:extLst>
        </xdr:cNvPr>
        <xdr:cNvPicPr>
          <a:picLocks noChangeAspect="1"/>
        </xdr:cNvPicPr>
      </xdr:nvPicPr>
      <xdr:blipFill>
        <a:blip xmlns:r="http://schemas.openxmlformats.org/officeDocument/2006/relationships" r:embed="rId1"/>
        <a:stretch>
          <a:fillRect/>
        </a:stretch>
      </xdr:blipFill>
      <xdr:spPr>
        <a:xfrm>
          <a:off x="1143000" y="4448175"/>
          <a:ext cx="2991267" cy="1648055"/>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7</xdr:col>
      <xdr:colOff>142875</xdr:colOff>
      <xdr:row>4</xdr:row>
      <xdr:rowOff>28575</xdr:rowOff>
    </xdr:from>
    <xdr:to>
      <xdr:col>12</xdr:col>
      <xdr:colOff>512</xdr:colOff>
      <xdr:row>18</xdr:row>
      <xdr:rowOff>114705</xdr:rowOff>
    </xdr:to>
    <xdr:pic>
      <xdr:nvPicPr>
        <xdr:cNvPr id="12" name="Picture 11">
          <a:extLst>
            <a:ext uri="{FF2B5EF4-FFF2-40B4-BE49-F238E27FC236}">
              <a16:creationId xmlns:a16="http://schemas.microsoft.com/office/drawing/2014/main" id="{0D077015-7D8A-1721-C61C-81B3646073E7}"/>
            </a:ext>
          </a:extLst>
        </xdr:cNvPr>
        <xdr:cNvPicPr>
          <a:picLocks noChangeAspect="1"/>
        </xdr:cNvPicPr>
      </xdr:nvPicPr>
      <xdr:blipFill>
        <a:blip xmlns:r="http://schemas.openxmlformats.org/officeDocument/2006/relationships" r:embed="rId2"/>
        <a:stretch>
          <a:fillRect/>
        </a:stretch>
      </xdr:blipFill>
      <xdr:spPr>
        <a:xfrm>
          <a:off x="5629275" y="1447800"/>
          <a:ext cx="3667637" cy="2905530"/>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352424</xdr:colOff>
      <xdr:row>3</xdr:row>
      <xdr:rowOff>76201</xdr:rowOff>
    </xdr:from>
    <xdr:to>
      <xdr:col>6</xdr:col>
      <xdr:colOff>590549</xdr:colOff>
      <xdr:row>16</xdr:row>
      <xdr:rowOff>19051</xdr:rowOff>
    </xdr:to>
    <xdr:sp macro="" textlink="">
      <xdr:nvSpPr>
        <xdr:cNvPr id="2" name="ZoneTexte 1">
          <a:extLst>
            <a:ext uri="{FF2B5EF4-FFF2-40B4-BE49-F238E27FC236}">
              <a16:creationId xmlns:a16="http://schemas.microsoft.com/office/drawing/2014/main" id="{5F0F5A4D-6B33-449F-B011-0DFD0A60D76A}"/>
            </a:ext>
          </a:extLst>
        </xdr:cNvPr>
        <xdr:cNvSpPr txBox="1"/>
      </xdr:nvSpPr>
      <xdr:spPr>
        <a:xfrm>
          <a:off x="352424" y="1295401"/>
          <a:ext cx="4810125" cy="25717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You can impose a list of choices in the desired cells.</a:t>
          </a:r>
          <a:br>
            <a:rPr lang="en-US" sz="1400" b="0" i="0" u="none" strike="noStrike">
              <a:solidFill>
                <a:schemeClr val="dk1"/>
              </a:solidFill>
              <a:effectLst/>
              <a:latin typeface="Consolas" panose="020B0609020204030204" pitchFamily="49" charset="0"/>
              <a:ea typeface="+mn-ea"/>
              <a:cs typeface="+mn-cs"/>
            </a:rPr>
          </a:br>
          <a:r>
            <a:rPr lang="en-US" sz="1400" b="0" i="0" u="none" strike="noStrike">
              <a:solidFill>
                <a:schemeClr val="dk1"/>
              </a:solidFill>
              <a:effectLst/>
              <a:latin typeface="Consolas" panose="020B0609020204030204" pitchFamily="49" charset="0"/>
              <a:ea typeface="+mn-ea"/>
              <a:cs typeface="+mn-cs"/>
            </a:rPr>
            <a:t>The list of choices can be:​</a:t>
          </a:r>
        </a:p>
        <a:p>
          <a:pPr marL="457200" marR="0" lvl="1"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 a manual list.</a:t>
          </a: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 A range of cells in a sheet.</a:t>
          </a: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 a defined name. </a:t>
          </a:r>
        </a:p>
        <a:p>
          <a:pPr marL="457200" marR="0" lvl="1"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 a formula.</a:t>
          </a:r>
        </a:p>
        <a:p>
          <a:pPr marL="457200" marR="0" lvl="1" indent="0" defTabSz="914400" rtl="0" eaLnBrk="1" fontAlgn="auto" latinLnBrk="0" hangingPunct="1">
            <a:lnSpc>
              <a:spcPct val="100000"/>
            </a:lnSpc>
            <a:spcBef>
              <a:spcPts val="0"/>
            </a:spcBef>
            <a:spcAft>
              <a:spcPts val="0"/>
            </a:spcAft>
            <a:buClrTx/>
            <a:buSzTx/>
            <a:buFontTx/>
            <a:buNone/>
            <a:tabLst/>
            <a:defRPr/>
          </a:pPr>
          <a:endParaRPr lang="en-US" sz="1400">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a:effectLst/>
            </a:rPr>
            <a:t>To insert a drop-down list:</a:t>
          </a:r>
          <a:br>
            <a:rPr lang="en-US" sz="1400">
              <a:effectLst/>
            </a:rPr>
          </a:br>
          <a:r>
            <a:rPr lang="en-US" sz="1400">
              <a:solidFill>
                <a:srgbClr val="FF0000"/>
              </a:solidFill>
              <a:effectLst/>
            </a:rPr>
            <a:t>Data &gt; (Data Tools) Data Validation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a:effectLst/>
            </a:rPr>
            <a:t>and choose 'List' from the dropdown.</a:t>
          </a:r>
          <a:endParaRPr lang="en-US" sz="1400" b="0">
            <a:solidFill>
              <a:sysClr val="windowText" lastClr="000000"/>
            </a:solidFill>
            <a:effectLst/>
          </a:endParaRPr>
        </a:p>
      </xdr:txBody>
    </xdr:sp>
    <xdr:clientData/>
  </xdr:twoCellAnchor>
  <xdr:twoCellAnchor editAs="oneCell">
    <xdr:from>
      <xdr:col>7</xdr:col>
      <xdr:colOff>92936</xdr:colOff>
      <xdr:row>2</xdr:row>
      <xdr:rowOff>168693</xdr:rowOff>
    </xdr:from>
    <xdr:to>
      <xdr:col>11</xdr:col>
      <xdr:colOff>545236</xdr:colOff>
      <xdr:row>17</xdr:row>
      <xdr:rowOff>65434</xdr:rowOff>
    </xdr:to>
    <xdr:pic>
      <xdr:nvPicPr>
        <xdr:cNvPr id="3" name="Image 2">
          <a:extLst>
            <a:ext uri="{FF2B5EF4-FFF2-40B4-BE49-F238E27FC236}">
              <a16:creationId xmlns:a16="http://schemas.microsoft.com/office/drawing/2014/main" id="{0F2ED2BA-ABEC-4F2A-9565-DA1B7AFD46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5569811" y="1197393"/>
          <a:ext cx="3500300" cy="2897116"/>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oneCellAnchor>
    <xdr:from>
      <xdr:col>1</xdr:col>
      <xdr:colOff>85725</xdr:colOff>
      <xdr:row>0</xdr:row>
      <xdr:rowOff>31248</xdr:rowOff>
    </xdr:from>
    <xdr:ext cx="12906375" cy="843757"/>
    <xdr:sp macro="" textlink="">
      <xdr:nvSpPr>
        <xdr:cNvPr id="4" name="Rectangle 3">
          <a:extLst>
            <a:ext uri="{FF2B5EF4-FFF2-40B4-BE49-F238E27FC236}">
              <a16:creationId xmlns:a16="http://schemas.microsoft.com/office/drawing/2014/main" id="{C91FC510-2292-4307-AC2F-B0022512F959}"/>
            </a:ext>
          </a:extLst>
        </xdr:cNvPr>
        <xdr:cNvSpPr/>
      </xdr:nvSpPr>
      <xdr:spPr>
        <a:xfrm>
          <a:off x="847725" y="31248"/>
          <a:ext cx="1290637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Listes déroulantes</a:t>
          </a:r>
        </a:p>
      </xdr:txBody>
    </xdr:sp>
    <xdr:clientData/>
  </xdr:oneCellAnchor>
  <xdr:twoCellAnchor>
    <xdr:from>
      <xdr:col>14</xdr:col>
      <xdr:colOff>619125</xdr:colOff>
      <xdr:row>3</xdr:row>
      <xdr:rowOff>9526</xdr:rowOff>
    </xdr:from>
    <xdr:to>
      <xdr:col>19</xdr:col>
      <xdr:colOff>419100</xdr:colOff>
      <xdr:row>8</xdr:row>
      <xdr:rowOff>142875</xdr:rowOff>
    </xdr:to>
    <xdr:sp macro="" textlink="">
      <xdr:nvSpPr>
        <xdr:cNvPr id="6" name="ZoneTexte 5">
          <a:extLst>
            <a:ext uri="{FF2B5EF4-FFF2-40B4-BE49-F238E27FC236}">
              <a16:creationId xmlns:a16="http://schemas.microsoft.com/office/drawing/2014/main" id="{88F5C3A2-88D0-4D56-8B87-830A9C03F25D}"/>
            </a:ext>
          </a:extLst>
        </xdr:cNvPr>
        <xdr:cNvSpPr txBox="1"/>
      </xdr:nvSpPr>
      <xdr:spPr>
        <a:xfrm>
          <a:off x="11287125" y="1228726"/>
          <a:ext cx="3609975" cy="11334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Insert drop-down lists that contain the following values:</a:t>
          </a:r>
          <a:br>
            <a:rPr lang="fr-CH" sz="1400" b="0" i="0" u="none" strike="noStrike" baseline="0">
              <a:solidFill>
                <a:schemeClr val="dk1"/>
              </a:solidFill>
              <a:effectLst/>
              <a:latin typeface="Consolas" panose="020B0609020204030204" pitchFamily="49" charset="0"/>
              <a:ea typeface="+mn-ea"/>
              <a:cs typeface="+mn-cs"/>
            </a:rPr>
          </a:br>
          <a:r>
            <a:rPr lang="fr-CH" sz="1400" b="0" i="0" u="none" strike="noStrike" baseline="0">
              <a:solidFill>
                <a:schemeClr val="dk1"/>
              </a:solidFill>
              <a:effectLst/>
              <a:latin typeface="Consolas" panose="020B0609020204030204" pitchFamily="49" charset="0"/>
              <a:ea typeface="+mn-ea"/>
              <a:cs typeface="+mn-cs"/>
            </a:rPr>
            <a:t>Vaud;Genève;Berne;Zurich;Fribourg</a:t>
          </a:r>
          <a:endParaRPr lang="en-US" sz="1400" b="1">
            <a:solidFill>
              <a:schemeClr val="accent2">
                <a:lumMod val="50000"/>
              </a:schemeClr>
            </a:solidFill>
            <a:effectLst/>
          </a:endParaRPr>
        </a:p>
      </xdr:txBody>
    </xdr:sp>
    <xdr:clientData/>
  </xdr:twoCellAnchor>
  <xdr:twoCellAnchor>
    <xdr:from>
      <xdr:col>14</xdr:col>
      <xdr:colOff>619125</xdr:colOff>
      <xdr:row>9</xdr:row>
      <xdr:rowOff>142876</xdr:rowOff>
    </xdr:from>
    <xdr:to>
      <xdr:col>19</xdr:col>
      <xdr:colOff>419100</xdr:colOff>
      <xdr:row>15</xdr:row>
      <xdr:rowOff>76200</xdr:rowOff>
    </xdr:to>
    <xdr:sp macro="" textlink="">
      <xdr:nvSpPr>
        <xdr:cNvPr id="7" name="ZoneTexte 6">
          <a:extLst>
            <a:ext uri="{FF2B5EF4-FFF2-40B4-BE49-F238E27FC236}">
              <a16:creationId xmlns:a16="http://schemas.microsoft.com/office/drawing/2014/main" id="{40A1C7E6-E8C7-482D-887D-ADDD399E1EE5}"/>
            </a:ext>
          </a:extLst>
        </xdr:cNvPr>
        <xdr:cNvSpPr txBox="1"/>
      </xdr:nvSpPr>
      <xdr:spPr>
        <a:xfrm>
          <a:off x="11287125" y="2552701"/>
          <a:ext cx="3609975" cy="11715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Insert drop-down lists that contain the values contained in</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'Variables'!B11:B15</a:t>
          </a:r>
          <a:endParaRPr lang="en-US" sz="1400" b="1">
            <a:solidFill>
              <a:schemeClr val="accent2">
                <a:lumMod val="50000"/>
              </a:schemeClr>
            </a:solidFill>
            <a:effectLst/>
          </a:endParaRPr>
        </a:p>
      </xdr:txBody>
    </xdr:sp>
    <xdr:clientData/>
  </xdr:twoCellAnchor>
  <xdr:twoCellAnchor>
    <xdr:from>
      <xdr:col>14</xdr:col>
      <xdr:colOff>619125</xdr:colOff>
      <xdr:row>16</xdr:row>
      <xdr:rowOff>104776</xdr:rowOff>
    </xdr:from>
    <xdr:to>
      <xdr:col>19</xdr:col>
      <xdr:colOff>419100</xdr:colOff>
      <xdr:row>22</xdr:row>
      <xdr:rowOff>38100</xdr:rowOff>
    </xdr:to>
    <xdr:sp macro="" textlink="">
      <xdr:nvSpPr>
        <xdr:cNvPr id="8" name="ZoneTexte 7">
          <a:extLst>
            <a:ext uri="{FF2B5EF4-FFF2-40B4-BE49-F238E27FC236}">
              <a16:creationId xmlns:a16="http://schemas.microsoft.com/office/drawing/2014/main" id="{C02615A5-D79C-4778-ABC3-6690178BFABB}"/>
            </a:ext>
          </a:extLst>
        </xdr:cNvPr>
        <xdr:cNvSpPr txBox="1"/>
      </xdr:nvSpPr>
      <xdr:spPr>
        <a:xfrm>
          <a:off x="11287125" y="3943351"/>
          <a:ext cx="3609975" cy="11715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Insert drop-down lists that contain the values contained in the cells referenced by the name liste_cantons in the sheet</a:t>
          </a:r>
          <a:r>
            <a:rPr lang="fr-CH" sz="1400" b="0" i="0" u="none" strike="noStrike" baseline="0">
              <a:solidFill>
                <a:schemeClr val="dk1"/>
              </a:solidFill>
              <a:effectLst/>
              <a:latin typeface="Consolas" panose="020B0609020204030204" pitchFamily="49" charset="0"/>
              <a:ea typeface="+mn-ea"/>
              <a:cs typeface="+mn-cs"/>
            </a:rPr>
            <a:t> 'Varaibles'</a:t>
          </a:r>
          <a:endParaRPr lang="fr-CH"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14</xdr:col>
      <xdr:colOff>619125</xdr:colOff>
      <xdr:row>24</xdr:row>
      <xdr:rowOff>76201</xdr:rowOff>
    </xdr:from>
    <xdr:to>
      <xdr:col>19</xdr:col>
      <xdr:colOff>419100</xdr:colOff>
      <xdr:row>30</xdr:row>
      <xdr:rowOff>47625</xdr:rowOff>
    </xdr:to>
    <xdr:sp macro="" textlink="">
      <xdr:nvSpPr>
        <xdr:cNvPr id="9" name="ZoneTexte 8">
          <a:extLst>
            <a:ext uri="{FF2B5EF4-FFF2-40B4-BE49-F238E27FC236}">
              <a16:creationId xmlns:a16="http://schemas.microsoft.com/office/drawing/2014/main" id="{C759FEE3-6046-44E9-A485-376B4100A4F2}"/>
            </a:ext>
          </a:extLst>
        </xdr:cNvPr>
        <xdr:cNvSpPr txBox="1"/>
      </xdr:nvSpPr>
      <xdr:spPr>
        <a:xfrm>
          <a:off x="11287125" y="5534026"/>
          <a:ext cx="3609975" cy="116204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Insert drop-down lists that contain the unique values of the column Departments in the sheet 'Variables'</a:t>
          </a:r>
        </a:p>
      </xdr:txBody>
    </xdr:sp>
    <xdr:clientData/>
  </xdr:twoCellAnchor>
  <xdr:twoCellAnchor editAs="oneCell">
    <xdr:from>
      <xdr:col>1</xdr:col>
      <xdr:colOff>533400</xdr:colOff>
      <xdr:row>18</xdr:row>
      <xdr:rowOff>142875</xdr:rowOff>
    </xdr:from>
    <xdr:to>
      <xdr:col>5</xdr:col>
      <xdr:colOff>476667</xdr:colOff>
      <xdr:row>26</xdr:row>
      <xdr:rowOff>162155</xdr:rowOff>
    </xdr:to>
    <xdr:pic>
      <xdr:nvPicPr>
        <xdr:cNvPr id="10" name="Picture 9">
          <a:extLst>
            <a:ext uri="{FF2B5EF4-FFF2-40B4-BE49-F238E27FC236}">
              <a16:creationId xmlns:a16="http://schemas.microsoft.com/office/drawing/2014/main" id="{73E091B0-9AD0-447E-9E44-D920CD7F9970}"/>
            </a:ext>
          </a:extLst>
        </xdr:cNvPr>
        <xdr:cNvPicPr>
          <a:picLocks noChangeAspect="1"/>
        </xdr:cNvPicPr>
      </xdr:nvPicPr>
      <xdr:blipFill>
        <a:blip xmlns:r="http://schemas.openxmlformats.org/officeDocument/2006/relationships" r:embed="rId2"/>
        <a:stretch>
          <a:fillRect/>
        </a:stretch>
      </xdr:blipFill>
      <xdr:spPr>
        <a:xfrm>
          <a:off x="1438275" y="4371975"/>
          <a:ext cx="2991267" cy="1648055"/>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xdr:col>
      <xdr:colOff>85725</xdr:colOff>
      <xdr:row>0</xdr:row>
      <xdr:rowOff>31248</xdr:rowOff>
    </xdr:from>
    <xdr:ext cx="12906375" cy="843757"/>
    <xdr:sp macro="" textlink="">
      <xdr:nvSpPr>
        <xdr:cNvPr id="2" name="Rectangle 1">
          <a:extLst>
            <a:ext uri="{FF2B5EF4-FFF2-40B4-BE49-F238E27FC236}">
              <a16:creationId xmlns:a16="http://schemas.microsoft.com/office/drawing/2014/main" id="{3A5FC172-790A-4B5C-BBA8-7B7A93AE5714}"/>
            </a:ext>
          </a:extLst>
        </xdr:cNvPr>
        <xdr:cNvSpPr/>
      </xdr:nvSpPr>
      <xdr:spPr>
        <a:xfrm>
          <a:off x="847725" y="31248"/>
          <a:ext cx="1290637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Protection in Excel</a:t>
          </a:r>
        </a:p>
      </xdr:txBody>
    </xdr:sp>
    <xdr:clientData/>
  </xdr:oneCellAnchor>
  <xdr:twoCellAnchor>
    <xdr:from>
      <xdr:col>0</xdr:col>
      <xdr:colOff>609600</xdr:colOff>
      <xdr:row>3</xdr:row>
      <xdr:rowOff>180975</xdr:rowOff>
    </xdr:from>
    <xdr:to>
      <xdr:col>7</xdr:col>
      <xdr:colOff>238125</xdr:colOff>
      <xdr:row>22</xdr:row>
      <xdr:rowOff>57150</xdr:rowOff>
    </xdr:to>
    <xdr:sp macro="" textlink="">
      <xdr:nvSpPr>
        <xdr:cNvPr id="7" name="ZoneTexte 6">
          <a:extLst>
            <a:ext uri="{FF2B5EF4-FFF2-40B4-BE49-F238E27FC236}">
              <a16:creationId xmlns:a16="http://schemas.microsoft.com/office/drawing/2014/main" id="{009C251F-AA3E-46B7-BCB6-B2F7ACE5CE73}"/>
            </a:ext>
          </a:extLst>
        </xdr:cNvPr>
        <xdr:cNvSpPr txBox="1"/>
      </xdr:nvSpPr>
      <xdr:spPr>
        <a:xfrm>
          <a:off x="609600" y="1400175"/>
          <a:ext cx="4962525" cy="34956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fr-CH" sz="2000" b="1" i="0" u="none" strike="noStrike">
              <a:solidFill>
                <a:schemeClr val="dk1"/>
              </a:solidFill>
              <a:effectLst/>
              <a:latin typeface="Consolas" panose="020B0609020204030204" pitchFamily="49" charset="0"/>
              <a:ea typeface="+mn-ea"/>
              <a:cs typeface="+mn-cs"/>
            </a:rPr>
            <a:t>Protect the sheet</a:t>
          </a:r>
          <a:r>
            <a:rPr lang="fr-CH" sz="20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1" i="0" u="none" strike="noStrike">
            <a:solidFill>
              <a:schemeClr val="accent2">
                <a:lumMod val="50000"/>
              </a:schemeClr>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rPr>
            <a:t>Review &gt; protect sheet </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will prevent any changes to the cells of the sheet.</a:t>
          </a:r>
          <a:b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b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You can set a password on your protection (make sure you remember this).</a:t>
          </a:r>
        </a:p>
        <a:p>
          <a:pPr marL="0" marR="0" lvl="0" indent="0" defTabSz="914400" rtl="0" eaLnBrk="1" fontAlgn="auto" latinLnBrk="0" hangingPunct="1">
            <a:lnSpc>
              <a:spcPct val="100000"/>
            </a:lnSpc>
            <a:spcBef>
              <a:spcPts val="0"/>
            </a:spcBef>
            <a:spcAft>
              <a:spcPts val="0"/>
            </a:spcAft>
            <a:buClrTx/>
            <a:buSzTx/>
            <a:buFontTx/>
            <a:buNone/>
            <a:tabLst/>
            <a:defRPr/>
          </a:pPr>
          <a:b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b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If you want to allow editing of certain cells, select them first and tap </a:t>
          </a:r>
          <a:r>
            <a:rPr kumimoji="0" lang="fr-CH" sz="1400" b="1" i="0" u="none" strike="noStrike" kern="0" cap="none" spc="0" normalizeH="0" baseline="0" noProof="0">
              <a:ln>
                <a:noFill/>
              </a:ln>
              <a:solidFill>
                <a:prstClr val="black"/>
              </a:solidFill>
              <a:effectLst/>
              <a:uLnTx/>
              <a:uFillTx/>
              <a:latin typeface="Consolas" panose="020B0609020204030204" pitchFamily="49" charset="0"/>
              <a:ea typeface="+mn-ea"/>
              <a:cs typeface="+mn-cs"/>
            </a:rPr>
            <a:t>Review &gt; Allow Edit Ranges</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 and then click </a:t>
          </a: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rPr>
            <a:t>Review &gt; protect sheet.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rgbClr val="FF0000"/>
              </a:solidFill>
              <a:effectLst/>
              <a:latin typeface="Consolas" panose="020B0609020204030204" pitchFamily="49" charset="0"/>
              <a:ea typeface="+mn-ea"/>
              <a:cs typeface="+mn-cs"/>
            </a:rPr>
            <a:t>If you use a password, don't forget it!</a:t>
          </a:r>
        </a:p>
      </xdr:txBody>
    </xdr:sp>
    <xdr:clientData/>
  </xdr:twoCellAnchor>
  <xdr:twoCellAnchor>
    <xdr:from>
      <xdr:col>8</xdr:col>
      <xdr:colOff>319088</xdr:colOff>
      <xdr:row>3</xdr:row>
      <xdr:rowOff>180975</xdr:rowOff>
    </xdr:from>
    <xdr:to>
      <xdr:col>14</xdr:col>
      <xdr:colOff>709613</xdr:colOff>
      <xdr:row>22</xdr:row>
      <xdr:rowOff>57150</xdr:rowOff>
    </xdr:to>
    <xdr:sp macro="" textlink="">
      <xdr:nvSpPr>
        <xdr:cNvPr id="11" name="ZoneTexte 10">
          <a:extLst>
            <a:ext uri="{FF2B5EF4-FFF2-40B4-BE49-F238E27FC236}">
              <a16:creationId xmlns:a16="http://schemas.microsoft.com/office/drawing/2014/main" id="{A187AC32-88BC-4091-BBAB-3FE5E514A7F7}"/>
            </a:ext>
          </a:extLst>
        </xdr:cNvPr>
        <xdr:cNvSpPr txBox="1"/>
      </xdr:nvSpPr>
      <xdr:spPr>
        <a:xfrm>
          <a:off x="6415088" y="1400175"/>
          <a:ext cx="4962525" cy="34956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fr-CH" sz="2000" b="1" i="0" u="none" strike="noStrike">
              <a:solidFill>
                <a:schemeClr val="dk1"/>
              </a:solidFill>
              <a:effectLst/>
              <a:latin typeface="Consolas" panose="020B0609020204030204" pitchFamily="49" charset="0"/>
              <a:ea typeface="+mn-ea"/>
              <a:cs typeface="+mn-cs"/>
            </a:rPr>
            <a:t>Protect the workbook</a:t>
          </a:r>
          <a:r>
            <a:rPr lang="fr-CH" sz="20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ysClr val="windowText" lastClr="000000"/>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a:solidFill>
                <a:schemeClr val="accent2">
                  <a:lumMod val="50000"/>
                </a:schemeClr>
              </a:solidFill>
              <a:effectLst/>
              <a:latin typeface="Consolas" panose="020B0609020204030204" pitchFamily="49" charset="0"/>
              <a:ea typeface="+mn-ea"/>
              <a:cs typeface="+mn-cs"/>
            </a:rPr>
            <a:t>Review &gt; Protect Workbook </a:t>
          </a:r>
          <a:r>
            <a:rPr lang="fr-CH" sz="1400" b="0" i="0" u="none" strike="noStrike" baseline="0">
              <a:solidFill>
                <a:sysClr val="windowText" lastClr="000000"/>
              </a:solidFill>
              <a:effectLst/>
              <a:latin typeface="Consolas" panose="020B0609020204030204" pitchFamily="49" charset="0"/>
              <a:ea typeface="+mn-ea"/>
              <a:cs typeface="+mn-cs"/>
            </a:rPr>
            <a:t>will prevent the sheet structure from being changed.</a:t>
          </a:r>
          <a:br>
            <a:rPr lang="fr-CH" sz="1400" b="0" i="0" u="none" strike="noStrike" baseline="0">
              <a:solidFill>
                <a:sysClr val="windowText" lastClr="000000"/>
              </a:solidFill>
              <a:effectLst/>
              <a:latin typeface="Consolas" panose="020B0609020204030204" pitchFamily="49" charset="0"/>
              <a:ea typeface="+mn-ea"/>
              <a:cs typeface="+mn-cs"/>
            </a:rPr>
          </a:br>
          <a:endParaRPr lang="fr-CH" sz="1400" b="0" i="0" u="none" strike="noStrike" baseline="0">
            <a:solidFill>
              <a:sysClr val="windowText" lastClr="000000"/>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ysClr val="windowText" lastClr="000000"/>
              </a:solidFill>
              <a:effectLst/>
              <a:latin typeface="Consolas" panose="020B0609020204030204" pitchFamily="49" charset="0"/>
              <a:ea typeface="+mn-ea"/>
              <a:cs typeface="+mn-cs"/>
            </a:rPr>
            <a:t>You will no longer be able to add, move, copy, delete, rename, hide, or show a sheet or change the color of the tab.</a:t>
          </a:r>
        </a:p>
      </xdr:txBody>
    </xdr:sp>
    <xdr:clientData/>
  </xdr:twoCellAnchor>
  <xdr:twoCellAnchor>
    <xdr:from>
      <xdr:col>15</xdr:col>
      <xdr:colOff>590550</xdr:colOff>
      <xdr:row>3</xdr:row>
      <xdr:rowOff>180975</xdr:rowOff>
    </xdr:from>
    <xdr:to>
      <xdr:col>22</xdr:col>
      <xdr:colOff>219075</xdr:colOff>
      <xdr:row>22</xdr:row>
      <xdr:rowOff>57150</xdr:rowOff>
    </xdr:to>
    <xdr:sp macro="" textlink="">
      <xdr:nvSpPr>
        <xdr:cNvPr id="12" name="ZoneTexte 11">
          <a:extLst>
            <a:ext uri="{FF2B5EF4-FFF2-40B4-BE49-F238E27FC236}">
              <a16:creationId xmlns:a16="http://schemas.microsoft.com/office/drawing/2014/main" id="{5E3EBE6D-529F-4DC0-8414-6519D804387B}"/>
            </a:ext>
          </a:extLst>
        </xdr:cNvPr>
        <xdr:cNvSpPr txBox="1"/>
      </xdr:nvSpPr>
      <xdr:spPr>
        <a:xfrm>
          <a:off x="12020550" y="1400175"/>
          <a:ext cx="4962525" cy="34956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fr-CH" sz="2000" b="1" i="0" u="none" strike="noStrike">
              <a:solidFill>
                <a:schemeClr val="dk1"/>
              </a:solidFill>
              <a:effectLst/>
              <a:latin typeface="Consolas" panose="020B0609020204030204" pitchFamily="49" charset="0"/>
              <a:ea typeface="+mn-ea"/>
              <a:cs typeface="+mn-cs"/>
            </a:rPr>
            <a:t>Encrypt with password</a:t>
          </a:r>
          <a:r>
            <a:rPr lang="fr-CH" sz="20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1" i="0" u="none" strike="noStrike" baseline="0">
            <a:solidFill>
              <a:schemeClr val="accent2">
                <a:lumMod val="50000"/>
              </a:schemeClr>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ysClr val="windowText" lastClr="000000"/>
              </a:solidFill>
              <a:effectLst/>
              <a:latin typeface="Consolas" panose="020B0609020204030204" pitchFamily="49" charset="0"/>
              <a:ea typeface="+mn-ea"/>
              <a:cs typeface="+mn-cs"/>
            </a:rPr>
            <a:t>Click </a:t>
          </a:r>
          <a:r>
            <a:rPr lang="fr-CH" sz="1400" b="1" i="0" u="none" strike="noStrike" baseline="0">
              <a:solidFill>
                <a:schemeClr val="accent2">
                  <a:lumMod val="50000"/>
                </a:schemeClr>
              </a:solidFill>
              <a:effectLst/>
              <a:latin typeface="Consolas" panose="020B0609020204030204" pitchFamily="49" charset="0"/>
              <a:ea typeface="+mn-ea"/>
              <a:cs typeface="+mn-cs"/>
            </a:rPr>
            <a:t>File &gt; Info&gt; Protect Workbook &gt; Encrypt with Password</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ysClr val="windowText" lastClr="000000"/>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ysClr val="windowText" lastClr="000000"/>
              </a:solidFill>
              <a:effectLst/>
              <a:latin typeface="Consolas" panose="020B0609020204030204" pitchFamily="49" charset="0"/>
              <a:ea typeface="+mn-ea"/>
              <a:cs typeface="+mn-cs"/>
            </a:rPr>
            <a:t>This will force a password to be entered when opening the workbook.</a:t>
          </a:r>
          <a:endParaRPr lang="en-US" sz="1400" b="0" i="0" u="none" strike="noStrike" baseline="0">
            <a:solidFill>
              <a:sysClr val="windowText" lastClr="000000"/>
            </a:solidFill>
            <a:effectLst/>
            <a:latin typeface="Consolas" panose="020B0609020204030204" pitchFamily="49" charset="0"/>
            <a:ea typeface="+mn-ea"/>
            <a:cs typeface="+mn-cs"/>
          </a:endParaRPr>
        </a:p>
      </xdr:txBody>
    </xdr:sp>
    <xdr:clientData/>
  </xdr:twoCellAnchor>
  <xdr:twoCellAnchor editAs="oneCell">
    <xdr:from>
      <xdr:col>7</xdr:col>
      <xdr:colOff>104775</xdr:colOff>
      <xdr:row>1</xdr:row>
      <xdr:rowOff>85725</xdr:rowOff>
    </xdr:from>
    <xdr:to>
      <xdr:col>8</xdr:col>
      <xdr:colOff>495461</xdr:colOff>
      <xdr:row>6</xdr:row>
      <xdr:rowOff>57266</xdr:rowOff>
    </xdr:to>
    <xdr:pic>
      <xdr:nvPicPr>
        <xdr:cNvPr id="19" name="Image 18">
          <a:extLst>
            <a:ext uri="{FF2B5EF4-FFF2-40B4-BE49-F238E27FC236}">
              <a16:creationId xmlns:a16="http://schemas.microsoft.com/office/drawing/2014/main" id="{CB2C263B-3DD6-440C-9802-307CFE379C65}"/>
            </a:ext>
          </a:extLst>
        </xdr:cNvPr>
        <xdr:cNvPicPr>
          <a:picLocks noChangeAspect="1"/>
        </xdr:cNvPicPr>
      </xdr:nvPicPr>
      <xdr:blipFill>
        <a:blip xmlns:r="http://schemas.openxmlformats.org/officeDocument/2006/relationships" r:embed="rId1"/>
        <a:stretch>
          <a:fillRect/>
        </a:stretch>
      </xdr:blipFill>
      <xdr:spPr>
        <a:xfrm>
          <a:off x="5438775" y="1019175"/>
          <a:ext cx="1152686" cy="828791"/>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17</xdr:col>
      <xdr:colOff>485776</xdr:colOff>
      <xdr:row>17</xdr:row>
      <xdr:rowOff>157144</xdr:rowOff>
    </xdr:from>
    <xdr:to>
      <xdr:col>22</xdr:col>
      <xdr:colOff>581026</xdr:colOff>
      <xdr:row>27</xdr:row>
      <xdr:rowOff>69898</xdr:rowOff>
    </xdr:to>
    <xdr:pic>
      <xdr:nvPicPr>
        <xdr:cNvPr id="20" name="Image 19">
          <a:extLst>
            <a:ext uri="{FF2B5EF4-FFF2-40B4-BE49-F238E27FC236}">
              <a16:creationId xmlns:a16="http://schemas.microsoft.com/office/drawing/2014/main" id="{36862820-37C5-94B9-B03B-966D7F5CF3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13562807" y="4016753"/>
          <a:ext cx="3915172" cy="184752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0</v>
    <v>4</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CE9C54-79C7-4186-A69A-CD4D85907F5F}" name="tbl_xlookup" displayName="tbl_xlookup" ref="A1:F24" totalsRowShown="0">
  <autoFilter ref="A1:F24" xr:uid="{A8CE9C54-79C7-4186-A69A-CD4D85907F5F}"/>
  <tableColumns count="6">
    <tableColumn id="6" xr3:uid="{A1148E3C-D4B0-4DE7-9FCE-554D0C3B4D43}" name="COUNTRY"/>
    <tableColumn id="1" xr3:uid="{7C3DD634-CEE5-4016-8131-A25FD9DD59A9}" name="jan"/>
    <tableColumn id="2" xr3:uid="{EADEE8D0-736B-4EB3-AB21-77CE205369F3}" name="feb"/>
    <tableColumn id="3" xr3:uid="{61307F26-DC85-45AC-BB01-D6617FCED97D}" name="mar"/>
    <tableColumn id="4" xr3:uid="{BD7B2022-8267-40D6-B22F-246C2D0AD9A4}" name="TOTAL" dataDxfId="9">
      <calculatedColumnFormula>SUM(B2:D2)</calculatedColumnFormula>
    </tableColumn>
    <tableColumn id="5" xr3:uid="{6304622E-4827-4350-A1C6-BFF9F437E0BB}" name="TOTAL TTC" dataDxfId="8">
      <calculatedColumnFormula>tbl_xlookup[[#This Row],[TOTAL]]*(1+_xlfn.XLOOKUP(tbl_xlookup[[#This Row],[COUNTRY]],Variables!$G$3:$G$8,Variables!$H$3:$H$8,,0))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DDC7902-3BF7-4210-8E4A-7CF0466432D9}">
  <we:reference id="wa200007447" version="1.0.0.0" store="fr-CH" storeType="OMEX"/>
  <we:alternateReferences>
    <we:reference id="wa200007447"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F0959-4C38-4A30-875D-B4506D14862A}">
  <dimension ref="A1:K15"/>
  <sheetViews>
    <sheetView workbookViewId="0">
      <selection activeCell="K3" sqref="K3"/>
    </sheetView>
  </sheetViews>
  <sheetFormatPr defaultColWidth="9.140625" defaultRowHeight="15" x14ac:dyDescent="0.25"/>
  <cols>
    <col min="1" max="1" width="15.7109375" customWidth="1"/>
  </cols>
  <sheetData>
    <row r="1" spans="1:11" ht="75" customHeight="1" x14ac:dyDescent="0.25">
      <c r="A1" t="e" vm="1">
        <v>#VALUE!</v>
      </c>
    </row>
    <row r="2" spans="1:11" x14ac:dyDescent="0.25">
      <c r="A2" t="s">
        <v>5</v>
      </c>
      <c r="B2" s="1">
        <v>0.08</v>
      </c>
      <c r="K2" t="s">
        <v>101</v>
      </c>
    </row>
    <row r="3" spans="1:11" x14ac:dyDescent="0.25">
      <c r="G3" t="s">
        <v>6</v>
      </c>
      <c r="H3" s="4">
        <v>8.6999999999999994E-2</v>
      </c>
      <c r="K3" t="s">
        <v>96</v>
      </c>
    </row>
    <row r="4" spans="1:11" x14ac:dyDescent="0.25">
      <c r="A4" t="s">
        <v>5</v>
      </c>
      <c r="B4" s="1">
        <v>0.1</v>
      </c>
      <c r="G4" t="s">
        <v>7</v>
      </c>
      <c r="H4" s="4">
        <v>0.1</v>
      </c>
      <c r="K4" t="s">
        <v>97</v>
      </c>
    </row>
    <row r="5" spans="1:11" x14ac:dyDescent="0.25">
      <c r="G5" t="s">
        <v>8</v>
      </c>
      <c r="H5" s="4">
        <v>0.19800000000000001</v>
      </c>
      <c r="K5" t="s">
        <v>98</v>
      </c>
    </row>
    <row r="6" spans="1:11" x14ac:dyDescent="0.25">
      <c r="A6" t="s">
        <v>5</v>
      </c>
      <c r="B6" s="1">
        <v>0.12</v>
      </c>
      <c r="G6" t="s">
        <v>9</v>
      </c>
      <c r="H6" s="4">
        <v>0.08</v>
      </c>
      <c r="K6" t="s">
        <v>99</v>
      </c>
    </row>
    <row r="7" spans="1:11" x14ac:dyDescent="0.25">
      <c r="G7" t="s">
        <v>10</v>
      </c>
      <c r="H7" s="4">
        <v>0.09</v>
      </c>
      <c r="K7" t="s">
        <v>100</v>
      </c>
    </row>
    <row r="8" spans="1:11" x14ac:dyDescent="0.25">
      <c r="A8" t="s">
        <v>5</v>
      </c>
      <c r="B8" s="1">
        <v>0.1</v>
      </c>
      <c r="G8" t="s">
        <v>11</v>
      </c>
      <c r="H8" s="4">
        <v>9.8000000000000004E-2</v>
      </c>
    </row>
    <row r="10" spans="1:11" x14ac:dyDescent="0.25">
      <c r="B10" t="s">
        <v>12</v>
      </c>
    </row>
    <row r="11" spans="1:11" ht="18.75" x14ac:dyDescent="0.3">
      <c r="B11" s="26" t="s">
        <v>13</v>
      </c>
    </row>
    <row r="12" spans="1:11" ht="18.75" x14ac:dyDescent="0.3">
      <c r="B12" s="26" t="s">
        <v>14</v>
      </c>
    </row>
    <row r="13" spans="1:11" ht="18.75" x14ac:dyDescent="0.3">
      <c r="B13" s="26" t="s">
        <v>15</v>
      </c>
    </row>
    <row r="14" spans="1:11" ht="18.75" x14ac:dyDescent="0.3">
      <c r="B14" s="26" t="s">
        <v>16</v>
      </c>
    </row>
    <row r="15" spans="1:11" ht="18.75" x14ac:dyDescent="0.3">
      <c r="B15" s="26"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A9CD4-5DD8-458F-A1E0-4FC5E2C705D5}">
  <sheetPr>
    <tabColor theme="8"/>
  </sheetPr>
  <dimension ref="A1:W57"/>
  <sheetViews>
    <sheetView topLeftCell="E1" workbookViewId="0">
      <selection activeCell="K4" sqref="K4:Q4"/>
    </sheetView>
  </sheetViews>
  <sheetFormatPr defaultColWidth="9.140625" defaultRowHeight="15" x14ac:dyDescent="0.25"/>
  <cols>
    <col min="1" max="1" width="19.140625" customWidth="1"/>
    <col min="5" max="5" width="16.28515625" customWidth="1"/>
    <col min="6" max="6" width="16.85546875" customWidth="1"/>
    <col min="7" max="7" width="16.28515625" bestFit="1" customWidth="1"/>
    <col min="8" max="9" width="11" customWidth="1"/>
    <col min="14" max="14" width="12.28515625" customWidth="1"/>
  </cols>
  <sheetData>
    <row r="1" spans="1:23" s="8" customFormat="1" ht="73.5" customHeight="1" x14ac:dyDescent="0.25">
      <c r="A1" s="8" t="e" vm="2">
        <f>Variables!$A$1</f>
        <v>#VALUE!</v>
      </c>
      <c r="G1" s="11"/>
      <c r="S1" s="31" t="s">
        <v>55</v>
      </c>
      <c r="T1" s="31"/>
      <c r="U1" s="31"/>
      <c r="V1" s="31"/>
      <c r="W1" s="31"/>
    </row>
    <row r="2" spans="1:23" s="10" customFormat="1" ht="8.1" customHeight="1" x14ac:dyDescent="0.25">
      <c r="G2" s="12"/>
    </row>
    <row r="3" spans="1:23" ht="15.75" thickBot="1" x14ac:dyDescent="0.3"/>
    <row r="4" spans="1:23" ht="16.5" thickTop="1" thickBot="1" x14ac:dyDescent="0.3">
      <c r="K4" s="28" t="s">
        <v>59</v>
      </c>
      <c r="L4" s="29"/>
      <c r="M4" s="29"/>
      <c r="N4" s="29"/>
      <c r="O4" s="29"/>
      <c r="P4" s="29"/>
      <c r="Q4" s="30"/>
    </row>
    <row r="5" spans="1:23" ht="15.75" thickTop="1" x14ac:dyDescent="0.25">
      <c r="G5" s="18" t="s">
        <v>56</v>
      </c>
      <c r="H5" s="19" t="s">
        <v>57</v>
      </c>
      <c r="I5" s="19" t="s">
        <v>58</v>
      </c>
      <c r="J5" s="18" t="s">
        <v>0</v>
      </c>
      <c r="K5" s="20">
        <v>0.1</v>
      </c>
      <c r="L5" s="20">
        <v>0.15</v>
      </c>
      <c r="M5" s="20">
        <v>0.2</v>
      </c>
      <c r="N5" s="20">
        <v>0.25</v>
      </c>
      <c r="O5" s="20">
        <v>0.3</v>
      </c>
      <c r="P5" s="20">
        <v>0.35</v>
      </c>
      <c r="Q5" s="20">
        <v>0.4</v>
      </c>
    </row>
    <row r="6" spans="1:23" x14ac:dyDescent="0.25">
      <c r="G6" t="s">
        <v>22</v>
      </c>
      <c r="H6">
        <v>600</v>
      </c>
      <c r="I6">
        <v>200</v>
      </c>
    </row>
    <row r="7" spans="1:23" x14ac:dyDescent="0.25">
      <c r="G7" t="s">
        <v>23</v>
      </c>
      <c r="H7">
        <v>753</v>
      </c>
      <c r="I7">
        <v>137</v>
      </c>
    </row>
    <row r="8" spans="1:23" x14ac:dyDescent="0.25">
      <c r="G8" t="s">
        <v>24</v>
      </c>
      <c r="H8">
        <v>695</v>
      </c>
      <c r="I8">
        <v>231</v>
      </c>
    </row>
    <row r="9" spans="1:23" x14ac:dyDescent="0.25">
      <c r="G9" t="s">
        <v>25</v>
      </c>
      <c r="H9">
        <v>742</v>
      </c>
      <c r="I9">
        <v>228</v>
      </c>
    </row>
    <row r="10" spans="1:23" x14ac:dyDescent="0.25">
      <c r="G10" t="s">
        <v>26</v>
      </c>
      <c r="H10">
        <v>804</v>
      </c>
      <c r="I10">
        <v>146</v>
      </c>
    </row>
    <row r="11" spans="1:23" x14ac:dyDescent="0.25">
      <c r="G11" t="s">
        <v>27</v>
      </c>
      <c r="H11">
        <v>821</v>
      </c>
      <c r="I11">
        <v>152</v>
      </c>
    </row>
    <row r="12" spans="1:23" x14ac:dyDescent="0.25">
      <c r="G12" t="s">
        <v>28</v>
      </c>
      <c r="H12">
        <v>617</v>
      </c>
      <c r="I12">
        <v>246</v>
      </c>
    </row>
    <row r="13" spans="1:23" x14ac:dyDescent="0.25">
      <c r="G13" t="s">
        <v>29</v>
      </c>
      <c r="H13">
        <v>455</v>
      </c>
      <c r="I13">
        <v>174</v>
      </c>
    </row>
    <row r="14" spans="1:23" x14ac:dyDescent="0.25">
      <c r="G14" t="s">
        <v>30</v>
      </c>
      <c r="H14">
        <v>542</v>
      </c>
      <c r="I14">
        <v>193</v>
      </c>
    </row>
    <row r="15" spans="1:23" x14ac:dyDescent="0.25">
      <c r="G15" t="s">
        <v>31</v>
      </c>
      <c r="H15">
        <v>649</v>
      </c>
      <c r="I15">
        <v>215</v>
      </c>
    </row>
    <row r="16" spans="1:23" x14ac:dyDescent="0.25">
      <c r="G16" t="s">
        <v>32</v>
      </c>
      <c r="H16">
        <v>822</v>
      </c>
      <c r="I16">
        <v>151</v>
      </c>
    </row>
    <row r="17" spans="4:9" x14ac:dyDescent="0.25">
      <c r="G17" t="s">
        <v>33</v>
      </c>
      <c r="H17">
        <v>846</v>
      </c>
      <c r="I17">
        <v>124</v>
      </c>
    </row>
    <row r="18" spans="4:9" x14ac:dyDescent="0.25">
      <c r="G18" t="s">
        <v>34</v>
      </c>
      <c r="H18">
        <v>995</v>
      </c>
      <c r="I18">
        <v>140</v>
      </c>
    </row>
    <row r="19" spans="4:9" x14ac:dyDescent="0.25">
      <c r="G19" t="s">
        <v>35</v>
      </c>
      <c r="H19">
        <v>685</v>
      </c>
      <c r="I19">
        <v>198</v>
      </c>
    </row>
    <row r="20" spans="4:9" x14ac:dyDescent="0.25">
      <c r="G20" t="s">
        <v>36</v>
      </c>
      <c r="H20">
        <v>660</v>
      </c>
      <c r="I20">
        <v>136</v>
      </c>
    </row>
    <row r="21" spans="4:9" x14ac:dyDescent="0.25">
      <c r="G21" t="s">
        <v>37</v>
      </c>
      <c r="H21">
        <v>651</v>
      </c>
      <c r="I21">
        <v>117</v>
      </c>
    </row>
    <row r="22" spans="4:9" x14ac:dyDescent="0.25">
      <c r="G22" t="s">
        <v>38</v>
      </c>
      <c r="H22">
        <v>668</v>
      </c>
      <c r="I22">
        <v>218</v>
      </c>
    </row>
    <row r="23" spans="4:9" x14ac:dyDescent="0.25">
      <c r="G23" t="s">
        <v>39</v>
      </c>
      <c r="H23">
        <v>625</v>
      </c>
      <c r="I23">
        <v>245</v>
      </c>
    </row>
    <row r="24" spans="4:9" x14ac:dyDescent="0.25">
      <c r="G24" t="s">
        <v>40</v>
      </c>
      <c r="H24">
        <v>702</v>
      </c>
      <c r="I24">
        <v>221</v>
      </c>
    </row>
    <row r="25" spans="4:9" x14ac:dyDescent="0.25">
      <c r="G25" t="s">
        <v>41</v>
      </c>
      <c r="H25">
        <v>693</v>
      </c>
      <c r="I25">
        <v>197</v>
      </c>
    </row>
    <row r="26" spans="4:9" x14ac:dyDescent="0.25">
      <c r="G26" t="s">
        <v>42</v>
      </c>
      <c r="H26">
        <v>736</v>
      </c>
      <c r="I26">
        <v>201</v>
      </c>
    </row>
    <row r="29" spans="4:9" x14ac:dyDescent="0.25">
      <c r="D29" s="13"/>
    </row>
    <row r="34" spans="7:17" ht="15.75" thickBot="1" x14ac:dyDescent="0.3">
      <c r="G34" s="6" t="s">
        <v>43</v>
      </c>
    </row>
    <row r="35" spans="7:17" ht="16.5" thickTop="1" thickBot="1" x14ac:dyDescent="0.3">
      <c r="K35" s="28" t="s">
        <v>18</v>
      </c>
      <c r="L35" s="29"/>
      <c r="M35" s="29"/>
      <c r="N35" s="29"/>
      <c r="O35" s="29"/>
      <c r="P35" s="29"/>
      <c r="Q35" s="30"/>
    </row>
    <row r="36" spans="7:17" ht="30.75" thickTop="1" x14ac:dyDescent="0.25">
      <c r="G36" s="18" t="s">
        <v>19</v>
      </c>
      <c r="H36" s="19" t="s">
        <v>20</v>
      </c>
      <c r="I36" s="19" t="s">
        <v>21</v>
      </c>
      <c r="J36" s="18" t="s">
        <v>0</v>
      </c>
      <c r="K36" s="20">
        <v>0.1</v>
      </c>
      <c r="L36" s="20">
        <v>0.15</v>
      </c>
      <c r="M36" s="20">
        <v>0.2</v>
      </c>
      <c r="N36" s="20">
        <v>0.25</v>
      </c>
      <c r="O36" s="20">
        <v>0.3</v>
      </c>
      <c r="P36" s="20">
        <v>0.35</v>
      </c>
      <c r="Q36" s="20">
        <v>0.4</v>
      </c>
    </row>
    <row r="37" spans="7:17" x14ac:dyDescent="0.25">
      <c r="G37" t="s">
        <v>22</v>
      </c>
      <c r="H37">
        <v>600</v>
      </c>
      <c r="I37">
        <v>200</v>
      </c>
      <c r="J37">
        <f>H37+I37</f>
        <v>800</v>
      </c>
      <c r="K37">
        <f t="shared" ref="K37:Q46" si="0">ROUND($J37*(1+K$5)*(1+TVACH),0)</f>
        <v>957</v>
      </c>
      <c r="L37">
        <f t="shared" si="0"/>
        <v>1000</v>
      </c>
      <c r="M37">
        <f t="shared" si="0"/>
        <v>1044</v>
      </c>
      <c r="N37">
        <f t="shared" si="0"/>
        <v>1087</v>
      </c>
      <c r="O37">
        <f t="shared" si="0"/>
        <v>1130</v>
      </c>
      <c r="P37">
        <f t="shared" si="0"/>
        <v>1174</v>
      </c>
      <c r="Q37">
        <f t="shared" si="0"/>
        <v>1217</v>
      </c>
    </row>
    <row r="38" spans="7:17" x14ac:dyDescent="0.25">
      <c r="G38" t="s">
        <v>23</v>
      </c>
      <c r="H38">
        <v>753</v>
      </c>
      <c r="I38">
        <v>137</v>
      </c>
      <c r="J38">
        <f t="shared" ref="J38:J57" si="1">H38+I38</f>
        <v>890</v>
      </c>
      <c r="K38">
        <f t="shared" si="0"/>
        <v>1064</v>
      </c>
      <c r="L38">
        <f t="shared" si="0"/>
        <v>1113</v>
      </c>
      <c r="M38">
        <f t="shared" si="0"/>
        <v>1161</v>
      </c>
      <c r="N38">
        <f t="shared" si="0"/>
        <v>1209</v>
      </c>
      <c r="O38">
        <f t="shared" si="0"/>
        <v>1258</v>
      </c>
      <c r="P38">
        <f t="shared" si="0"/>
        <v>1306</v>
      </c>
      <c r="Q38">
        <f t="shared" si="0"/>
        <v>1354</v>
      </c>
    </row>
    <row r="39" spans="7:17" x14ac:dyDescent="0.25">
      <c r="G39" t="s">
        <v>24</v>
      </c>
      <c r="H39">
        <v>695</v>
      </c>
      <c r="I39">
        <v>231</v>
      </c>
      <c r="J39">
        <f t="shared" si="1"/>
        <v>926</v>
      </c>
      <c r="K39">
        <f t="shared" si="0"/>
        <v>1107</v>
      </c>
      <c r="L39">
        <f t="shared" si="0"/>
        <v>1158</v>
      </c>
      <c r="M39">
        <f t="shared" si="0"/>
        <v>1208</v>
      </c>
      <c r="N39">
        <f t="shared" si="0"/>
        <v>1258</v>
      </c>
      <c r="O39">
        <f t="shared" si="0"/>
        <v>1309</v>
      </c>
      <c r="P39">
        <f t="shared" si="0"/>
        <v>1359</v>
      </c>
      <c r="Q39">
        <f t="shared" si="0"/>
        <v>1409</v>
      </c>
    </row>
    <row r="40" spans="7:17" x14ac:dyDescent="0.25">
      <c r="G40" t="s">
        <v>25</v>
      </c>
      <c r="H40">
        <v>742</v>
      </c>
      <c r="I40">
        <v>228</v>
      </c>
      <c r="J40">
        <f t="shared" si="1"/>
        <v>970</v>
      </c>
      <c r="K40">
        <f t="shared" si="0"/>
        <v>1160</v>
      </c>
      <c r="L40">
        <f t="shared" si="0"/>
        <v>1213</v>
      </c>
      <c r="M40">
        <f t="shared" si="0"/>
        <v>1265</v>
      </c>
      <c r="N40">
        <f t="shared" si="0"/>
        <v>1318</v>
      </c>
      <c r="O40">
        <f t="shared" si="0"/>
        <v>1371</v>
      </c>
      <c r="P40">
        <f t="shared" si="0"/>
        <v>1423</v>
      </c>
      <c r="Q40">
        <f t="shared" si="0"/>
        <v>1476</v>
      </c>
    </row>
    <row r="41" spans="7:17" x14ac:dyDescent="0.25">
      <c r="G41" t="s">
        <v>26</v>
      </c>
      <c r="H41">
        <v>804</v>
      </c>
      <c r="I41">
        <v>146</v>
      </c>
      <c r="J41">
        <f t="shared" si="1"/>
        <v>950</v>
      </c>
      <c r="K41">
        <f t="shared" si="0"/>
        <v>1136</v>
      </c>
      <c r="L41">
        <f t="shared" si="0"/>
        <v>1188</v>
      </c>
      <c r="M41">
        <f t="shared" si="0"/>
        <v>1239</v>
      </c>
      <c r="N41">
        <f t="shared" si="0"/>
        <v>1291</v>
      </c>
      <c r="O41">
        <f t="shared" si="0"/>
        <v>1342</v>
      </c>
      <c r="P41">
        <f t="shared" si="0"/>
        <v>1394</v>
      </c>
      <c r="Q41">
        <f t="shared" si="0"/>
        <v>1446</v>
      </c>
    </row>
    <row r="42" spans="7:17" x14ac:dyDescent="0.25">
      <c r="G42" t="s">
        <v>27</v>
      </c>
      <c r="H42">
        <v>821</v>
      </c>
      <c r="I42">
        <v>152</v>
      </c>
      <c r="J42">
        <f t="shared" si="1"/>
        <v>973</v>
      </c>
      <c r="K42">
        <f t="shared" si="0"/>
        <v>1163</v>
      </c>
      <c r="L42">
        <f t="shared" si="0"/>
        <v>1216</v>
      </c>
      <c r="M42">
        <f t="shared" si="0"/>
        <v>1269</v>
      </c>
      <c r="N42">
        <f t="shared" si="0"/>
        <v>1322</v>
      </c>
      <c r="O42">
        <f t="shared" si="0"/>
        <v>1375</v>
      </c>
      <c r="P42">
        <f t="shared" si="0"/>
        <v>1428</v>
      </c>
      <c r="Q42">
        <f t="shared" si="0"/>
        <v>1481</v>
      </c>
    </row>
    <row r="43" spans="7:17" x14ac:dyDescent="0.25">
      <c r="G43" t="s">
        <v>28</v>
      </c>
      <c r="H43">
        <v>617</v>
      </c>
      <c r="I43">
        <v>246</v>
      </c>
      <c r="J43">
        <f t="shared" si="1"/>
        <v>863</v>
      </c>
      <c r="K43">
        <f t="shared" si="0"/>
        <v>1032</v>
      </c>
      <c r="L43">
        <f t="shared" si="0"/>
        <v>1079</v>
      </c>
      <c r="M43">
        <f t="shared" si="0"/>
        <v>1126</v>
      </c>
      <c r="N43">
        <f t="shared" si="0"/>
        <v>1173</v>
      </c>
      <c r="O43">
        <f t="shared" si="0"/>
        <v>1220</v>
      </c>
      <c r="P43">
        <f t="shared" si="0"/>
        <v>1266</v>
      </c>
      <c r="Q43">
        <f t="shared" si="0"/>
        <v>1313</v>
      </c>
    </row>
    <row r="44" spans="7:17" x14ac:dyDescent="0.25">
      <c r="G44" t="s">
        <v>29</v>
      </c>
      <c r="H44">
        <v>455</v>
      </c>
      <c r="I44">
        <v>174</v>
      </c>
      <c r="J44">
        <f t="shared" si="1"/>
        <v>629</v>
      </c>
      <c r="K44">
        <f t="shared" si="0"/>
        <v>752</v>
      </c>
      <c r="L44">
        <f t="shared" si="0"/>
        <v>786</v>
      </c>
      <c r="M44">
        <f t="shared" si="0"/>
        <v>820</v>
      </c>
      <c r="N44">
        <f t="shared" si="0"/>
        <v>855</v>
      </c>
      <c r="O44">
        <f t="shared" si="0"/>
        <v>889</v>
      </c>
      <c r="P44">
        <f t="shared" si="0"/>
        <v>923</v>
      </c>
      <c r="Q44">
        <f t="shared" si="0"/>
        <v>957</v>
      </c>
    </row>
    <row r="45" spans="7:17" x14ac:dyDescent="0.25">
      <c r="G45" t="s">
        <v>30</v>
      </c>
      <c r="H45">
        <v>542</v>
      </c>
      <c r="I45">
        <v>193</v>
      </c>
      <c r="J45">
        <f t="shared" si="1"/>
        <v>735</v>
      </c>
      <c r="K45">
        <f t="shared" si="0"/>
        <v>879</v>
      </c>
      <c r="L45">
        <f t="shared" si="0"/>
        <v>919</v>
      </c>
      <c r="M45">
        <f t="shared" si="0"/>
        <v>959</v>
      </c>
      <c r="N45">
        <f t="shared" si="0"/>
        <v>999</v>
      </c>
      <c r="O45">
        <f t="shared" si="0"/>
        <v>1039</v>
      </c>
      <c r="P45">
        <f t="shared" si="0"/>
        <v>1079</v>
      </c>
      <c r="Q45">
        <f t="shared" si="0"/>
        <v>1119</v>
      </c>
    </row>
    <row r="46" spans="7:17" x14ac:dyDescent="0.25">
      <c r="G46" t="s">
        <v>31</v>
      </c>
      <c r="H46">
        <v>649</v>
      </c>
      <c r="I46">
        <v>215</v>
      </c>
      <c r="J46">
        <f t="shared" si="1"/>
        <v>864</v>
      </c>
      <c r="K46">
        <f t="shared" si="0"/>
        <v>1033</v>
      </c>
      <c r="L46">
        <f t="shared" si="0"/>
        <v>1080</v>
      </c>
      <c r="M46">
        <f t="shared" si="0"/>
        <v>1127</v>
      </c>
      <c r="N46">
        <f t="shared" si="0"/>
        <v>1174</v>
      </c>
      <c r="O46">
        <f t="shared" si="0"/>
        <v>1221</v>
      </c>
      <c r="P46">
        <f t="shared" si="0"/>
        <v>1268</v>
      </c>
      <c r="Q46">
        <f t="shared" si="0"/>
        <v>1315</v>
      </c>
    </row>
    <row r="47" spans="7:17" x14ac:dyDescent="0.25">
      <c r="G47" t="s">
        <v>32</v>
      </c>
      <c r="H47">
        <v>822</v>
      </c>
      <c r="I47">
        <v>151</v>
      </c>
      <c r="J47">
        <f t="shared" si="1"/>
        <v>973</v>
      </c>
      <c r="K47">
        <f t="shared" ref="K47:Q57" si="2">ROUND($J47*(1+K$5)*(1+TVACH),0)</f>
        <v>1163</v>
      </c>
      <c r="L47">
        <f t="shared" si="2"/>
        <v>1216</v>
      </c>
      <c r="M47">
        <f t="shared" si="2"/>
        <v>1269</v>
      </c>
      <c r="N47">
        <f t="shared" si="2"/>
        <v>1322</v>
      </c>
      <c r="O47">
        <f t="shared" si="2"/>
        <v>1375</v>
      </c>
      <c r="P47">
        <f t="shared" si="2"/>
        <v>1428</v>
      </c>
      <c r="Q47">
        <f t="shared" si="2"/>
        <v>1481</v>
      </c>
    </row>
    <row r="48" spans="7:17" x14ac:dyDescent="0.25">
      <c r="G48" t="s">
        <v>33</v>
      </c>
      <c r="H48">
        <v>846</v>
      </c>
      <c r="I48">
        <v>124</v>
      </c>
      <c r="J48">
        <f t="shared" si="1"/>
        <v>970</v>
      </c>
      <c r="K48">
        <f t="shared" si="2"/>
        <v>1160</v>
      </c>
      <c r="L48">
        <f t="shared" si="2"/>
        <v>1213</v>
      </c>
      <c r="M48">
        <f t="shared" si="2"/>
        <v>1265</v>
      </c>
      <c r="N48">
        <f t="shared" si="2"/>
        <v>1318</v>
      </c>
      <c r="O48">
        <f t="shared" si="2"/>
        <v>1371</v>
      </c>
      <c r="P48">
        <f t="shared" si="2"/>
        <v>1423</v>
      </c>
      <c r="Q48">
        <f t="shared" si="2"/>
        <v>1476</v>
      </c>
    </row>
    <row r="49" spans="7:17" x14ac:dyDescent="0.25">
      <c r="G49" t="s">
        <v>34</v>
      </c>
      <c r="H49">
        <v>995</v>
      </c>
      <c r="I49">
        <v>140</v>
      </c>
      <c r="J49">
        <f t="shared" si="1"/>
        <v>1135</v>
      </c>
      <c r="K49">
        <f t="shared" si="2"/>
        <v>1357</v>
      </c>
      <c r="L49">
        <f t="shared" si="2"/>
        <v>1419</v>
      </c>
      <c r="M49">
        <f t="shared" si="2"/>
        <v>1480</v>
      </c>
      <c r="N49">
        <f t="shared" si="2"/>
        <v>1542</v>
      </c>
      <c r="O49">
        <f t="shared" si="2"/>
        <v>1604</v>
      </c>
      <c r="P49">
        <f t="shared" si="2"/>
        <v>1666</v>
      </c>
      <c r="Q49">
        <f t="shared" si="2"/>
        <v>1727</v>
      </c>
    </row>
    <row r="50" spans="7:17" x14ac:dyDescent="0.25">
      <c r="G50" t="s">
        <v>35</v>
      </c>
      <c r="H50">
        <v>685</v>
      </c>
      <c r="I50">
        <v>198</v>
      </c>
      <c r="J50">
        <f t="shared" si="1"/>
        <v>883</v>
      </c>
      <c r="K50">
        <f t="shared" si="2"/>
        <v>1056</v>
      </c>
      <c r="L50">
        <f t="shared" si="2"/>
        <v>1104</v>
      </c>
      <c r="M50">
        <f t="shared" si="2"/>
        <v>1152</v>
      </c>
      <c r="N50">
        <f t="shared" si="2"/>
        <v>1200</v>
      </c>
      <c r="O50">
        <f t="shared" si="2"/>
        <v>1248</v>
      </c>
      <c r="P50">
        <f t="shared" si="2"/>
        <v>1296</v>
      </c>
      <c r="Q50">
        <f t="shared" si="2"/>
        <v>1344</v>
      </c>
    </row>
    <row r="51" spans="7:17" x14ac:dyDescent="0.25">
      <c r="G51" t="s">
        <v>36</v>
      </c>
      <c r="H51">
        <v>660</v>
      </c>
      <c r="I51">
        <v>136</v>
      </c>
      <c r="J51">
        <f t="shared" si="1"/>
        <v>796</v>
      </c>
      <c r="K51">
        <f t="shared" si="2"/>
        <v>952</v>
      </c>
      <c r="L51">
        <f t="shared" si="2"/>
        <v>995</v>
      </c>
      <c r="M51">
        <f t="shared" si="2"/>
        <v>1038</v>
      </c>
      <c r="N51">
        <f t="shared" si="2"/>
        <v>1082</v>
      </c>
      <c r="O51">
        <f t="shared" si="2"/>
        <v>1125</v>
      </c>
      <c r="P51">
        <f t="shared" si="2"/>
        <v>1168</v>
      </c>
      <c r="Q51">
        <f t="shared" si="2"/>
        <v>1211</v>
      </c>
    </row>
    <row r="52" spans="7:17" x14ac:dyDescent="0.25">
      <c r="G52" t="s">
        <v>37</v>
      </c>
      <c r="H52">
        <v>651</v>
      </c>
      <c r="I52">
        <v>117</v>
      </c>
      <c r="J52">
        <f t="shared" si="1"/>
        <v>768</v>
      </c>
      <c r="K52">
        <f t="shared" si="2"/>
        <v>918</v>
      </c>
      <c r="L52">
        <f t="shared" si="2"/>
        <v>960</v>
      </c>
      <c r="M52">
        <f t="shared" si="2"/>
        <v>1002</v>
      </c>
      <c r="N52">
        <f t="shared" si="2"/>
        <v>1044</v>
      </c>
      <c r="O52">
        <f t="shared" si="2"/>
        <v>1085</v>
      </c>
      <c r="P52">
        <f t="shared" si="2"/>
        <v>1127</v>
      </c>
      <c r="Q52">
        <f t="shared" si="2"/>
        <v>1169</v>
      </c>
    </row>
    <row r="53" spans="7:17" x14ac:dyDescent="0.25">
      <c r="G53" t="s">
        <v>38</v>
      </c>
      <c r="H53">
        <v>668</v>
      </c>
      <c r="I53">
        <v>218</v>
      </c>
      <c r="J53">
        <f t="shared" si="1"/>
        <v>886</v>
      </c>
      <c r="K53">
        <f t="shared" si="2"/>
        <v>1059</v>
      </c>
      <c r="L53">
        <f t="shared" si="2"/>
        <v>1108</v>
      </c>
      <c r="M53">
        <f t="shared" si="2"/>
        <v>1156</v>
      </c>
      <c r="N53">
        <f t="shared" si="2"/>
        <v>1204</v>
      </c>
      <c r="O53">
        <f t="shared" si="2"/>
        <v>1252</v>
      </c>
      <c r="P53">
        <f t="shared" si="2"/>
        <v>1300</v>
      </c>
      <c r="Q53">
        <f t="shared" si="2"/>
        <v>1348</v>
      </c>
    </row>
    <row r="54" spans="7:17" x14ac:dyDescent="0.25">
      <c r="G54" t="s">
        <v>39</v>
      </c>
      <c r="H54">
        <v>625</v>
      </c>
      <c r="I54">
        <v>245</v>
      </c>
      <c r="J54">
        <f t="shared" si="1"/>
        <v>870</v>
      </c>
      <c r="K54">
        <f t="shared" si="2"/>
        <v>1040</v>
      </c>
      <c r="L54">
        <f t="shared" si="2"/>
        <v>1088</v>
      </c>
      <c r="M54">
        <f t="shared" si="2"/>
        <v>1135</v>
      </c>
      <c r="N54">
        <f t="shared" si="2"/>
        <v>1182</v>
      </c>
      <c r="O54">
        <f t="shared" si="2"/>
        <v>1229</v>
      </c>
      <c r="P54">
        <f t="shared" si="2"/>
        <v>1277</v>
      </c>
      <c r="Q54">
        <f t="shared" si="2"/>
        <v>1324</v>
      </c>
    </row>
    <row r="55" spans="7:17" x14ac:dyDescent="0.25">
      <c r="G55" t="s">
        <v>40</v>
      </c>
      <c r="H55">
        <v>702</v>
      </c>
      <c r="I55">
        <v>221</v>
      </c>
      <c r="J55">
        <f t="shared" si="1"/>
        <v>923</v>
      </c>
      <c r="K55">
        <f t="shared" si="2"/>
        <v>1104</v>
      </c>
      <c r="L55">
        <f t="shared" si="2"/>
        <v>1154</v>
      </c>
      <c r="M55">
        <f t="shared" si="2"/>
        <v>1204</v>
      </c>
      <c r="N55">
        <f t="shared" si="2"/>
        <v>1254</v>
      </c>
      <c r="O55">
        <f t="shared" si="2"/>
        <v>1304</v>
      </c>
      <c r="P55">
        <f t="shared" si="2"/>
        <v>1354</v>
      </c>
      <c r="Q55">
        <f t="shared" si="2"/>
        <v>1405</v>
      </c>
    </row>
    <row r="56" spans="7:17" x14ac:dyDescent="0.25">
      <c r="G56" t="s">
        <v>41</v>
      </c>
      <c r="H56">
        <v>693</v>
      </c>
      <c r="I56">
        <v>197</v>
      </c>
      <c r="J56">
        <f t="shared" si="1"/>
        <v>890</v>
      </c>
      <c r="K56">
        <f t="shared" si="2"/>
        <v>1064</v>
      </c>
      <c r="L56">
        <f t="shared" si="2"/>
        <v>1113</v>
      </c>
      <c r="M56">
        <f t="shared" si="2"/>
        <v>1161</v>
      </c>
      <c r="N56">
        <f t="shared" si="2"/>
        <v>1209</v>
      </c>
      <c r="O56">
        <f t="shared" si="2"/>
        <v>1258</v>
      </c>
      <c r="P56">
        <f t="shared" si="2"/>
        <v>1306</v>
      </c>
      <c r="Q56">
        <f t="shared" si="2"/>
        <v>1354</v>
      </c>
    </row>
    <row r="57" spans="7:17" x14ac:dyDescent="0.25">
      <c r="G57" t="s">
        <v>42</v>
      </c>
      <c r="H57">
        <v>736</v>
      </c>
      <c r="I57">
        <v>201</v>
      </c>
      <c r="J57">
        <f t="shared" si="1"/>
        <v>937</v>
      </c>
      <c r="K57">
        <f t="shared" si="2"/>
        <v>1120</v>
      </c>
      <c r="L57">
        <f t="shared" si="2"/>
        <v>1171</v>
      </c>
      <c r="M57">
        <f t="shared" si="2"/>
        <v>1222</v>
      </c>
      <c r="N57">
        <f t="shared" si="2"/>
        <v>1273</v>
      </c>
      <c r="O57">
        <f t="shared" si="2"/>
        <v>1324</v>
      </c>
      <c r="P57">
        <f t="shared" si="2"/>
        <v>1375</v>
      </c>
      <c r="Q57">
        <f t="shared" si="2"/>
        <v>1426</v>
      </c>
    </row>
  </sheetData>
  <mergeCells count="3">
    <mergeCell ref="K4:Q4"/>
    <mergeCell ref="K35:Q35"/>
    <mergeCell ref="S1:W1"/>
  </mergeCells>
  <phoneticPr fontId="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7A017-4E68-4504-ABBB-E800D7F243C1}">
  <sheetPr>
    <tabColor theme="8"/>
  </sheetPr>
  <dimension ref="A1:T21"/>
  <sheetViews>
    <sheetView workbookViewId="0">
      <selection activeCell="G11" sqref="G11"/>
    </sheetView>
  </sheetViews>
  <sheetFormatPr defaultColWidth="9.140625" defaultRowHeight="15" x14ac:dyDescent="0.25"/>
  <cols>
    <col min="1" max="1" width="19.140625" customWidth="1"/>
    <col min="5" max="5" width="16.28515625" customWidth="1"/>
    <col min="7" max="7" width="16.28515625" bestFit="1" customWidth="1"/>
    <col min="12" max="12" width="12.28515625" customWidth="1"/>
  </cols>
  <sheetData>
    <row r="1" spans="1:20" s="8" customFormat="1" ht="73.5" customHeight="1" x14ac:dyDescent="0.25">
      <c r="A1" s="8" t="e" vm="2">
        <f>Variables!$A$1</f>
        <v>#VALUE!</v>
      </c>
      <c r="G1" s="11"/>
    </row>
    <row r="2" spans="1:20" s="10" customFormat="1" ht="8.1" customHeight="1" x14ac:dyDescent="0.25">
      <c r="G2" s="12"/>
    </row>
    <row r="8" spans="1:20" ht="18.75" x14ac:dyDescent="0.3">
      <c r="G8" s="21" t="s">
        <v>60</v>
      </c>
      <c r="H8" s="17"/>
      <c r="I8" s="17"/>
      <c r="J8" s="17"/>
      <c r="K8" s="17"/>
      <c r="L8" s="17"/>
      <c r="M8" s="17"/>
      <c r="N8" s="17"/>
      <c r="O8" s="17"/>
      <c r="P8" s="17"/>
      <c r="Q8" s="17"/>
      <c r="R8" s="17"/>
      <c r="S8" s="17"/>
      <c r="T8" s="17"/>
    </row>
    <row r="9" spans="1:20" ht="18.75" x14ac:dyDescent="0.3">
      <c r="G9" s="5"/>
    </row>
    <row r="10" spans="1:20" ht="18.75" x14ac:dyDescent="0.3">
      <c r="G10" s="21" t="s">
        <v>61</v>
      </c>
      <c r="H10" s="17"/>
      <c r="I10" s="17"/>
      <c r="J10" s="17"/>
      <c r="K10" s="17"/>
      <c r="L10" s="17"/>
      <c r="M10" s="17"/>
      <c r="N10" s="17"/>
      <c r="O10" s="17"/>
      <c r="P10" s="17"/>
      <c r="Q10" s="17"/>
      <c r="R10" s="17"/>
      <c r="S10" s="17"/>
      <c r="T10" s="17"/>
    </row>
    <row r="14" spans="1:20" ht="18.75" x14ac:dyDescent="0.3">
      <c r="G14" s="21" t="s">
        <v>62</v>
      </c>
      <c r="H14" s="17"/>
      <c r="I14" s="17"/>
      <c r="J14" s="17"/>
      <c r="K14" s="17"/>
      <c r="L14" s="17"/>
      <c r="M14" s="17"/>
      <c r="N14" s="17"/>
      <c r="O14" s="17"/>
      <c r="P14" s="17"/>
      <c r="Q14" s="17"/>
      <c r="R14" s="17"/>
      <c r="S14" s="17"/>
      <c r="T14" s="17"/>
    </row>
    <row r="16" spans="1:20" ht="18.75" x14ac:dyDescent="0.3">
      <c r="G16" s="21" t="s">
        <v>63</v>
      </c>
      <c r="H16" s="17"/>
      <c r="I16" s="17"/>
      <c r="J16" s="17"/>
      <c r="K16" s="17"/>
      <c r="L16" s="17"/>
      <c r="M16" s="17"/>
      <c r="N16" s="17"/>
      <c r="O16" s="17"/>
      <c r="P16" s="17"/>
      <c r="Q16" s="17"/>
      <c r="R16" s="17"/>
      <c r="S16" s="17"/>
      <c r="T16" s="17"/>
    </row>
    <row r="18" spans="7:20" ht="18.75" x14ac:dyDescent="0.3">
      <c r="G18" s="32" t="s">
        <v>64</v>
      </c>
      <c r="H18" s="17"/>
      <c r="I18" s="17"/>
      <c r="J18" s="17"/>
      <c r="K18" s="17"/>
      <c r="L18" s="17"/>
      <c r="M18" s="17"/>
      <c r="N18" s="17"/>
      <c r="O18" s="17"/>
      <c r="P18" s="17"/>
      <c r="Q18" s="17"/>
      <c r="R18" s="17"/>
      <c r="S18" s="17"/>
      <c r="T18" s="17"/>
    </row>
    <row r="21" spans="7:20" ht="18.75" x14ac:dyDescent="0.3">
      <c r="G21" s="21" t="s">
        <v>65</v>
      </c>
      <c r="H21" s="17"/>
      <c r="I21" s="17"/>
      <c r="J21" s="17"/>
      <c r="K21" s="17"/>
      <c r="L21" s="17"/>
      <c r="M21" s="17"/>
      <c r="N21" s="17"/>
      <c r="O21" s="17"/>
      <c r="P21" s="17"/>
      <c r="Q21" s="17"/>
      <c r="R21" s="17"/>
      <c r="S21" s="17"/>
      <c r="T21" s="1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C0E8-D7B3-4D10-9873-4C7DCDAEC185}">
  <sheetPr>
    <tabColor theme="8"/>
  </sheetPr>
  <dimension ref="A1:P31"/>
  <sheetViews>
    <sheetView workbookViewId="0">
      <selection activeCell="C29" sqref="C29:C30"/>
    </sheetView>
  </sheetViews>
  <sheetFormatPr defaultColWidth="9.140625" defaultRowHeight="15" x14ac:dyDescent="0.25"/>
  <cols>
    <col min="1" max="1" width="19.140625" customWidth="1"/>
    <col min="5" max="5" width="16.28515625" customWidth="1"/>
    <col min="7" max="7" width="16.28515625" bestFit="1" customWidth="1"/>
    <col min="12" max="12" width="12.28515625" customWidth="1"/>
  </cols>
  <sheetData>
    <row r="1" spans="1:16" s="8" customFormat="1" ht="73.5" customHeight="1" x14ac:dyDescent="0.25">
      <c r="A1" s="8" t="e" vm="2">
        <f>Variables!$A$1</f>
        <v>#VALUE!</v>
      </c>
      <c r="G1" s="11"/>
    </row>
    <row r="2" spans="1:16" s="10" customFormat="1" ht="8.1" customHeight="1" x14ac:dyDescent="0.25">
      <c r="G2" s="12"/>
    </row>
    <row r="5" spans="1:16" x14ac:dyDescent="0.25">
      <c r="A5" s="6" t="s">
        <v>66</v>
      </c>
      <c r="B5" s="6" t="s">
        <v>1</v>
      </c>
      <c r="C5" s="6" t="s">
        <v>2</v>
      </c>
      <c r="D5" s="6" t="s">
        <v>3</v>
      </c>
      <c r="E5" s="6" t="s">
        <v>0</v>
      </c>
      <c r="F5" s="6" t="s">
        <v>67</v>
      </c>
    </row>
    <row r="6" spans="1:16" x14ac:dyDescent="0.25">
      <c r="A6" t="s">
        <v>68</v>
      </c>
      <c r="B6">
        <v>100</v>
      </c>
      <c r="C6">
        <v>200</v>
      </c>
      <c r="D6">
        <v>300</v>
      </c>
      <c r="E6">
        <f t="shared" ref="E6:E26" si="0">SUM(B6:D6)</f>
        <v>600</v>
      </c>
      <c r="F6">
        <f t="shared" ref="F6:F26" si="1">_xlfn.RANK.EQ(E6,$E$6:$E$26,0)</f>
        <v>19</v>
      </c>
      <c r="H6" s="14"/>
      <c r="I6" s="15"/>
      <c r="J6" s="15"/>
      <c r="K6" s="15"/>
      <c r="L6" s="15"/>
      <c r="M6" s="15"/>
      <c r="N6" s="15"/>
      <c r="O6" s="9"/>
      <c r="P6" s="9"/>
    </row>
    <row r="7" spans="1:16" x14ac:dyDescent="0.25">
      <c r="A7" t="s">
        <v>69</v>
      </c>
      <c r="B7">
        <v>190</v>
      </c>
      <c r="C7">
        <v>245</v>
      </c>
      <c r="D7">
        <v>318</v>
      </c>
      <c r="E7">
        <f t="shared" si="0"/>
        <v>753</v>
      </c>
      <c r="F7">
        <f t="shared" si="1"/>
        <v>6</v>
      </c>
      <c r="H7" s="14"/>
      <c r="I7" s="15"/>
      <c r="J7" s="15"/>
      <c r="K7" s="15"/>
      <c r="L7" s="15"/>
      <c r="M7" s="15"/>
      <c r="N7" s="15"/>
      <c r="O7" s="9"/>
      <c r="P7" s="9"/>
    </row>
    <row r="8" spans="1:16" x14ac:dyDescent="0.25">
      <c r="A8" t="s">
        <v>70</v>
      </c>
      <c r="B8">
        <v>200</v>
      </c>
      <c r="C8">
        <v>250</v>
      </c>
      <c r="D8">
        <v>245</v>
      </c>
      <c r="E8">
        <f t="shared" si="0"/>
        <v>695</v>
      </c>
      <c r="F8">
        <f t="shared" si="1"/>
        <v>10</v>
      </c>
      <c r="H8" s="14"/>
      <c r="I8" s="15"/>
      <c r="J8" s="15"/>
      <c r="K8" s="15"/>
      <c r="L8" s="15"/>
      <c r="M8" s="15"/>
      <c r="N8" s="15"/>
      <c r="O8" s="9"/>
      <c r="P8" s="9"/>
    </row>
    <row r="9" spans="1:16" x14ac:dyDescent="0.25">
      <c r="A9" t="s">
        <v>71</v>
      </c>
      <c r="B9">
        <v>210</v>
      </c>
      <c r="C9">
        <v>255</v>
      </c>
      <c r="D9">
        <v>277</v>
      </c>
      <c r="E9">
        <f t="shared" si="0"/>
        <v>742</v>
      </c>
      <c r="F9">
        <f t="shared" si="1"/>
        <v>7</v>
      </c>
      <c r="H9" s="14"/>
      <c r="I9" s="15"/>
      <c r="J9" s="15"/>
      <c r="K9" s="15"/>
      <c r="L9" s="15"/>
      <c r="M9" s="15"/>
      <c r="N9" s="15"/>
      <c r="O9" s="9"/>
      <c r="P9" s="9"/>
    </row>
    <row r="10" spans="1:16" x14ac:dyDescent="0.25">
      <c r="A10" t="s">
        <v>72</v>
      </c>
      <c r="B10">
        <v>220</v>
      </c>
      <c r="C10">
        <v>260</v>
      </c>
      <c r="D10">
        <v>324</v>
      </c>
      <c r="E10">
        <f t="shared" si="0"/>
        <v>804</v>
      </c>
      <c r="F10">
        <f t="shared" si="1"/>
        <v>5</v>
      </c>
      <c r="H10" s="14"/>
      <c r="I10" s="15"/>
      <c r="J10" s="15"/>
      <c r="K10" s="15"/>
      <c r="L10" s="15"/>
      <c r="M10" s="15"/>
      <c r="N10" s="15"/>
      <c r="O10" s="9"/>
      <c r="P10" s="9"/>
    </row>
    <row r="11" spans="1:16" x14ac:dyDescent="0.25">
      <c r="A11" t="s">
        <v>73</v>
      </c>
      <c r="B11">
        <v>230</v>
      </c>
      <c r="C11">
        <v>265</v>
      </c>
      <c r="D11">
        <v>326</v>
      </c>
      <c r="E11">
        <f t="shared" si="0"/>
        <v>821</v>
      </c>
      <c r="F11">
        <f t="shared" si="1"/>
        <v>4</v>
      </c>
      <c r="H11" s="14"/>
      <c r="I11" s="15"/>
      <c r="J11" s="15"/>
      <c r="K11" s="15"/>
      <c r="L11" s="15"/>
      <c r="M11" s="15"/>
      <c r="N11" s="15"/>
      <c r="O11" s="9"/>
      <c r="P11" s="9"/>
    </row>
    <row r="12" spans="1:16" x14ac:dyDescent="0.25">
      <c r="A12" t="s">
        <v>74</v>
      </c>
      <c r="B12">
        <v>110</v>
      </c>
      <c r="C12">
        <v>205</v>
      </c>
      <c r="D12">
        <v>302</v>
      </c>
      <c r="E12">
        <f t="shared" si="0"/>
        <v>617</v>
      </c>
      <c r="F12">
        <f t="shared" si="1"/>
        <v>18</v>
      </c>
      <c r="H12" s="14"/>
      <c r="I12" s="15"/>
      <c r="J12" s="15"/>
      <c r="K12" s="15"/>
      <c r="L12" s="15"/>
      <c r="M12" s="15"/>
      <c r="N12" s="15"/>
      <c r="O12" s="9"/>
      <c r="P12" s="9"/>
    </row>
    <row r="13" spans="1:16" x14ac:dyDescent="0.25">
      <c r="A13" t="s">
        <v>75</v>
      </c>
      <c r="B13">
        <v>155</v>
      </c>
      <c r="C13">
        <v>112</v>
      </c>
      <c r="D13">
        <v>188</v>
      </c>
      <c r="E13">
        <f t="shared" si="0"/>
        <v>455</v>
      </c>
      <c r="F13">
        <f t="shared" si="1"/>
        <v>21</v>
      </c>
      <c r="H13" s="14"/>
      <c r="I13" s="15"/>
      <c r="J13" s="15"/>
      <c r="K13" s="15"/>
      <c r="L13" s="15"/>
      <c r="M13" s="15"/>
      <c r="N13" s="15"/>
      <c r="O13" s="9"/>
      <c r="P13" s="9"/>
    </row>
    <row r="14" spans="1:16" x14ac:dyDescent="0.25">
      <c r="A14" t="s">
        <v>76</v>
      </c>
      <c r="B14">
        <v>165</v>
      </c>
      <c r="C14">
        <v>225</v>
      </c>
      <c r="D14">
        <v>152</v>
      </c>
      <c r="E14">
        <f t="shared" si="0"/>
        <v>542</v>
      </c>
      <c r="F14">
        <f t="shared" si="1"/>
        <v>20</v>
      </c>
      <c r="H14" s="14"/>
      <c r="I14" s="15"/>
      <c r="J14" s="15"/>
      <c r="K14" s="15"/>
      <c r="L14" s="15"/>
      <c r="M14" s="15"/>
      <c r="N14" s="15"/>
      <c r="O14" s="9"/>
      <c r="P14" s="9"/>
    </row>
    <row r="15" spans="1:16" x14ac:dyDescent="0.25">
      <c r="A15" t="s">
        <v>77</v>
      </c>
      <c r="B15">
        <v>190</v>
      </c>
      <c r="C15">
        <v>214</v>
      </c>
      <c r="D15">
        <v>245</v>
      </c>
      <c r="E15">
        <f t="shared" si="0"/>
        <v>649</v>
      </c>
      <c r="F15">
        <f t="shared" si="1"/>
        <v>16</v>
      </c>
      <c r="H15" s="14"/>
      <c r="I15" s="15"/>
      <c r="J15" s="15"/>
      <c r="K15" s="15"/>
      <c r="L15" s="15"/>
      <c r="M15" s="15"/>
      <c r="N15" s="15"/>
      <c r="O15" s="9"/>
      <c r="P15" s="9"/>
    </row>
    <row r="16" spans="1:16" x14ac:dyDescent="0.25">
      <c r="A16" t="s">
        <v>78</v>
      </c>
      <c r="B16">
        <v>210</v>
      </c>
      <c r="C16">
        <v>258</v>
      </c>
      <c r="D16">
        <v>354</v>
      </c>
      <c r="E16">
        <f t="shared" si="0"/>
        <v>822</v>
      </c>
      <c r="F16">
        <f t="shared" si="1"/>
        <v>3</v>
      </c>
      <c r="H16" s="14"/>
      <c r="I16" s="15"/>
      <c r="J16" s="15"/>
      <c r="K16" s="15"/>
      <c r="L16" s="15"/>
      <c r="M16" s="15"/>
      <c r="N16" s="15"/>
      <c r="O16" s="9"/>
      <c r="P16" s="9"/>
    </row>
    <row r="17" spans="1:16" x14ac:dyDescent="0.25">
      <c r="A17" t="s">
        <v>79</v>
      </c>
      <c r="B17">
        <v>224</v>
      </c>
      <c r="C17">
        <v>301</v>
      </c>
      <c r="D17">
        <v>321</v>
      </c>
      <c r="E17">
        <f t="shared" si="0"/>
        <v>846</v>
      </c>
      <c r="F17">
        <f t="shared" si="1"/>
        <v>2</v>
      </c>
      <c r="H17" s="14"/>
      <c r="I17" s="15"/>
      <c r="J17" s="15"/>
      <c r="K17" s="15"/>
      <c r="L17" s="15"/>
      <c r="M17" s="15"/>
      <c r="N17" s="15"/>
      <c r="O17" s="9"/>
      <c r="P17" s="9"/>
    </row>
    <row r="18" spans="1:16" x14ac:dyDescent="0.25">
      <c r="A18" t="s">
        <v>80</v>
      </c>
      <c r="B18">
        <v>290</v>
      </c>
      <c r="C18">
        <v>340</v>
      </c>
      <c r="D18">
        <v>365</v>
      </c>
      <c r="E18">
        <f t="shared" si="0"/>
        <v>995</v>
      </c>
      <c r="F18">
        <f t="shared" si="1"/>
        <v>1</v>
      </c>
      <c r="H18" s="14"/>
      <c r="I18" s="15"/>
      <c r="J18" s="15"/>
      <c r="K18" s="15"/>
      <c r="L18" s="15"/>
      <c r="M18" s="15"/>
      <c r="N18" s="15"/>
      <c r="O18" s="9"/>
      <c r="P18" s="9"/>
    </row>
    <row r="19" spans="1:16" x14ac:dyDescent="0.25">
      <c r="A19" t="s">
        <v>81</v>
      </c>
      <c r="B19">
        <v>120</v>
      </c>
      <c r="C19">
        <v>210</v>
      </c>
      <c r="D19">
        <v>355</v>
      </c>
      <c r="E19">
        <f t="shared" si="0"/>
        <v>685</v>
      </c>
      <c r="F19">
        <f t="shared" si="1"/>
        <v>12</v>
      </c>
      <c r="H19" s="14"/>
      <c r="I19" s="15"/>
      <c r="J19" s="15"/>
      <c r="K19" s="15"/>
      <c r="L19" s="15"/>
      <c r="M19" s="15"/>
      <c r="N19" s="15"/>
      <c r="O19" s="9"/>
      <c r="P19" s="9"/>
    </row>
    <row r="20" spans="1:16" x14ac:dyDescent="0.25">
      <c r="A20" t="s">
        <v>82</v>
      </c>
      <c r="B20">
        <v>190</v>
      </c>
      <c r="C20">
        <v>170</v>
      </c>
      <c r="D20">
        <v>300</v>
      </c>
      <c r="E20">
        <f t="shared" si="0"/>
        <v>660</v>
      </c>
      <c r="F20">
        <f t="shared" si="1"/>
        <v>14</v>
      </c>
      <c r="H20" s="14"/>
      <c r="I20" s="15"/>
      <c r="J20" s="15"/>
      <c r="K20" s="15"/>
      <c r="L20" s="15"/>
      <c r="M20" s="15"/>
      <c r="N20" s="15"/>
      <c r="O20" s="9"/>
      <c r="P20" s="9"/>
    </row>
    <row r="21" spans="1:16" x14ac:dyDescent="0.25">
      <c r="A21" t="s">
        <v>83</v>
      </c>
      <c r="B21">
        <v>130</v>
      </c>
      <c r="C21">
        <v>215</v>
      </c>
      <c r="D21">
        <v>306</v>
      </c>
      <c r="E21">
        <f t="shared" si="0"/>
        <v>651</v>
      </c>
      <c r="F21">
        <f t="shared" si="1"/>
        <v>15</v>
      </c>
      <c r="H21" s="14"/>
      <c r="I21" s="15"/>
      <c r="J21" s="15"/>
      <c r="K21" s="15"/>
      <c r="L21" s="15"/>
      <c r="M21" s="15"/>
      <c r="N21" s="15"/>
      <c r="O21" s="9"/>
      <c r="P21" s="9"/>
    </row>
    <row r="22" spans="1:16" x14ac:dyDescent="0.25">
      <c r="A22" t="s">
        <v>84</v>
      </c>
      <c r="B22">
        <v>140</v>
      </c>
      <c r="C22">
        <v>220</v>
      </c>
      <c r="D22">
        <v>308</v>
      </c>
      <c r="E22">
        <f t="shared" si="0"/>
        <v>668</v>
      </c>
      <c r="F22">
        <f t="shared" si="1"/>
        <v>13</v>
      </c>
      <c r="H22" s="14"/>
      <c r="I22" s="15"/>
      <c r="J22" s="15"/>
      <c r="K22" s="15"/>
      <c r="L22" s="15"/>
      <c r="M22" s="15"/>
      <c r="N22" s="15"/>
      <c r="O22" s="9"/>
      <c r="P22" s="9"/>
    </row>
    <row r="23" spans="1:16" x14ac:dyDescent="0.25">
      <c r="A23" t="s">
        <v>85</v>
      </c>
      <c r="B23">
        <v>150</v>
      </c>
      <c r="C23">
        <v>225</v>
      </c>
      <c r="D23">
        <v>250</v>
      </c>
      <c r="E23">
        <f t="shared" si="0"/>
        <v>625</v>
      </c>
      <c r="F23">
        <f t="shared" si="1"/>
        <v>17</v>
      </c>
      <c r="H23" s="14"/>
      <c r="I23" s="15"/>
      <c r="J23" s="15"/>
      <c r="K23" s="15"/>
      <c r="L23" s="15"/>
      <c r="M23" s="15"/>
      <c r="N23" s="15"/>
      <c r="O23" s="9"/>
      <c r="P23" s="9"/>
    </row>
    <row r="24" spans="1:16" x14ac:dyDescent="0.25">
      <c r="A24" t="s">
        <v>86</v>
      </c>
      <c r="B24">
        <v>160</v>
      </c>
      <c r="C24">
        <v>230</v>
      </c>
      <c r="D24">
        <v>312</v>
      </c>
      <c r="E24">
        <f t="shared" si="0"/>
        <v>702</v>
      </c>
      <c r="F24">
        <f t="shared" si="1"/>
        <v>9</v>
      </c>
      <c r="H24" s="14"/>
      <c r="I24" s="15"/>
      <c r="J24" s="15"/>
      <c r="K24" s="15"/>
      <c r="L24" s="15"/>
      <c r="M24" s="15"/>
      <c r="N24" s="15"/>
      <c r="O24" s="9"/>
      <c r="P24" s="9"/>
    </row>
    <row r="25" spans="1:16" x14ac:dyDescent="0.25">
      <c r="A25" t="s">
        <v>87</v>
      </c>
      <c r="B25">
        <v>170</v>
      </c>
      <c r="C25">
        <v>235</v>
      </c>
      <c r="D25">
        <v>288</v>
      </c>
      <c r="E25">
        <f t="shared" si="0"/>
        <v>693</v>
      </c>
      <c r="F25">
        <f t="shared" si="1"/>
        <v>11</v>
      </c>
      <c r="H25" s="14"/>
      <c r="I25" s="15"/>
      <c r="J25" s="15"/>
      <c r="K25" s="15"/>
      <c r="L25" s="15"/>
      <c r="M25" s="15"/>
      <c r="N25" s="15"/>
      <c r="O25" s="9"/>
      <c r="P25" s="9"/>
    </row>
    <row r="26" spans="1:16" x14ac:dyDescent="0.25">
      <c r="A26" t="s">
        <v>88</v>
      </c>
      <c r="B26">
        <v>180</v>
      </c>
      <c r="C26">
        <v>240</v>
      </c>
      <c r="D26">
        <v>316</v>
      </c>
      <c r="E26">
        <f t="shared" si="0"/>
        <v>736</v>
      </c>
      <c r="F26">
        <f t="shared" si="1"/>
        <v>8</v>
      </c>
      <c r="H26" s="14"/>
      <c r="I26" s="15"/>
      <c r="J26" s="15"/>
      <c r="K26" s="15"/>
      <c r="L26" s="15"/>
      <c r="M26" s="15"/>
      <c r="N26" s="15"/>
      <c r="O26" s="9"/>
      <c r="P26" s="9"/>
    </row>
    <row r="29" spans="1:16" x14ac:dyDescent="0.25">
      <c r="B29" t="s">
        <v>44</v>
      </c>
      <c r="C29" t="s">
        <v>91</v>
      </c>
      <c r="D29" s="13"/>
    </row>
    <row r="30" spans="1:16" x14ac:dyDescent="0.25">
      <c r="B30" t="s">
        <v>45</v>
      </c>
      <c r="C30" t="s">
        <v>91</v>
      </c>
    </row>
    <row r="31" spans="1:16" x14ac:dyDescent="0.25">
      <c r="B31" t="s">
        <v>46</v>
      </c>
      <c r="C31" t="s">
        <v>47</v>
      </c>
    </row>
  </sheetData>
  <conditionalFormatting sqref="H6:H26">
    <cfRule type="expression" dxfId="7" priority="2">
      <formula>F6&gt;E$29-3</formula>
    </cfRule>
    <cfRule type="expression" dxfId="6" priority="5">
      <formula>F6&lt;4</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B7268-7B0A-4136-9416-39252289E7DB}">
  <sheetPr>
    <tabColor theme="8"/>
  </sheetPr>
  <dimension ref="A1:R31"/>
  <sheetViews>
    <sheetView tabSelected="1" workbookViewId="0">
      <selection activeCell="R11" sqref="R11"/>
    </sheetView>
  </sheetViews>
  <sheetFormatPr defaultColWidth="9.140625" defaultRowHeight="15" x14ac:dyDescent="0.25"/>
  <cols>
    <col min="1" max="1" width="19.140625" customWidth="1"/>
    <col min="5" max="5" width="16.28515625" customWidth="1"/>
    <col min="7" max="7" width="16.28515625" bestFit="1" customWidth="1"/>
    <col min="12" max="12" width="12.28515625" customWidth="1"/>
  </cols>
  <sheetData>
    <row r="1" spans="1:18" s="8" customFormat="1" ht="73.5" customHeight="1" x14ac:dyDescent="0.25">
      <c r="A1" s="8" t="e" vm="2">
        <f>Variables!$A$1</f>
        <v>#VALUE!</v>
      </c>
      <c r="G1" s="11"/>
    </row>
    <row r="2" spans="1:18" s="10" customFormat="1" ht="8.1" customHeight="1" x14ac:dyDescent="0.25">
      <c r="G2" s="12"/>
    </row>
    <row r="4" spans="1:18" x14ac:dyDescent="0.25">
      <c r="H4" t="s">
        <v>90</v>
      </c>
      <c r="I4">
        <v>20</v>
      </c>
    </row>
    <row r="5" spans="1:18" x14ac:dyDescent="0.25">
      <c r="A5" s="6" t="s">
        <v>66</v>
      </c>
      <c r="B5" s="6" t="s">
        <v>1</v>
      </c>
      <c r="C5" s="6" t="s">
        <v>2</v>
      </c>
      <c r="D5" s="6" t="s">
        <v>3</v>
      </c>
      <c r="E5" s="6" t="s">
        <v>0</v>
      </c>
      <c r="F5" s="6" t="s">
        <v>67</v>
      </c>
    </row>
    <row r="6" spans="1:18" x14ac:dyDescent="0.25">
      <c r="A6" t="s">
        <v>68</v>
      </c>
      <c r="B6">
        <v>100</v>
      </c>
      <c r="C6">
        <v>200</v>
      </c>
      <c r="D6">
        <v>300</v>
      </c>
      <c r="E6">
        <f t="shared" ref="E6:E26" si="0">SUM(B6:D6)</f>
        <v>600</v>
      </c>
      <c r="F6">
        <f t="shared" ref="F6:F26" si="1">_xlfn.RANK.EQ(E6,$E$6:$E$26,0)</f>
        <v>19</v>
      </c>
      <c r="H6" s="14" t="str">
        <f t="shared" ref="H6:H26" si="2">"|"&amp;REPT("—",E6/$I$4)&amp;"⚫"</f>
        <v>|——————————————————————————————⚫</v>
      </c>
      <c r="I6" s="15"/>
      <c r="J6" s="15"/>
      <c r="K6" s="15"/>
      <c r="L6" s="15"/>
      <c r="M6" s="15"/>
      <c r="N6" s="15"/>
      <c r="O6" s="9"/>
      <c r="P6" s="9"/>
      <c r="R6" s="27" t="str">
        <f>"|"&amp;REPT("—",E6/$I$4)&amp;"⚫"</f>
        <v>|——————————————————————————————⚫</v>
      </c>
    </row>
    <row r="7" spans="1:18" x14ac:dyDescent="0.25">
      <c r="A7" t="s">
        <v>69</v>
      </c>
      <c r="B7">
        <v>190</v>
      </c>
      <c r="C7">
        <v>245</v>
      </c>
      <c r="D7">
        <v>318</v>
      </c>
      <c r="E7">
        <f t="shared" si="0"/>
        <v>753</v>
      </c>
      <c r="F7">
        <f t="shared" si="1"/>
        <v>6</v>
      </c>
      <c r="H7" s="14" t="str">
        <f t="shared" si="2"/>
        <v>|—————————————————————————————————————⚫</v>
      </c>
      <c r="I7" s="15"/>
      <c r="J7" s="15"/>
      <c r="K7" s="15"/>
      <c r="L7" s="15"/>
      <c r="M7" s="15"/>
      <c r="N7" s="15"/>
      <c r="O7" s="9"/>
      <c r="P7" s="9"/>
    </row>
    <row r="8" spans="1:18" x14ac:dyDescent="0.25">
      <c r="A8" t="s">
        <v>70</v>
      </c>
      <c r="B8">
        <v>200</v>
      </c>
      <c r="C8">
        <v>250</v>
      </c>
      <c r="D8">
        <v>245</v>
      </c>
      <c r="E8">
        <f t="shared" si="0"/>
        <v>695</v>
      </c>
      <c r="F8">
        <f t="shared" si="1"/>
        <v>10</v>
      </c>
      <c r="H8" s="14" t="str">
        <f t="shared" si="2"/>
        <v>|——————————————————————————————————⚫</v>
      </c>
      <c r="I8" s="15"/>
      <c r="J8" s="15"/>
      <c r="K8" s="15"/>
      <c r="L8" s="15"/>
      <c r="M8" s="15"/>
      <c r="N8" s="15"/>
      <c r="O8" s="9"/>
      <c r="P8" s="9"/>
    </row>
    <row r="9" spans="1:18" x14ac:dyDescent="0.25">
      <c r="A9" t="s">
        <v>71</v>
      </c>
      <c r="B9">
        <v>210</v>
      </c>
      <c r="C9">
        <v>255</v>
      </c>
      <c r="D9">
        <v>277</v>
      </c>
      <c r="E9">
        <f t="shared" si="0"/>
        <v>742</v>
      </c>
      <c r="F9">
        <f t="shared" si="1"/>
        <v>7</v>
      </c>
      <c r="H9" s="14" t="str">
        <f t="shared" si="2"/>
        <v>|—————————————————————————————————————⚫</v>
      </c>
      <c r="I9" s="15"/>
      <c r="J9" s="15"/>
      <c r="K9" s="15"/>
      <c r="L9" s="15"/>
      <c r="M9" s="15"/>
      <c r="N9" s="15"/>
      <c r="O9" s="9"/>
      <c r="P9" s="9"/>
    </row>
    <row r="10" spans="1:18" x14ac:dyDescent="0.25">
      <c r="A10" t="s">
        <v>72</v>
      </c>
      <c r="B10">
        <v>220</v>
      </c>
      <c r="C10">
        <v>260</v>
      </c>
      <c r="D10">
        <v>324</v>
      </c>
      <c r="E10">
        <f t="shared" si="0"/>
        <v>804</v>
      </c>
      <c r="F10">
        <f t="shared" si="1"/>
        <v>5</v>
      </c>
      <c r="H10" s="14" t="str">
        <f t="shared" si="2"/>
        <v>|————————————————————————————————————————⚫</v>
      </c>
      <c r="I10" s="15"/>
      <c r="J10" s="15"/>
      <c r="K10" s="15"/>
      <c r="L10" s="15"/>
      <c r="M10" s="15"/>
      <c r="N10" s="15"/>
      <c r="O10" s="9"/>
      <c r="P10" s="9"/>
    </row>
    <row r="11" spans="1:18" x14ac:dyDescent="0.25">
      <c r="A11" t="s">
        <v>73</v>
      </c>
      <c r="B11">
        <v>230</v>
      </c>
      <c r="C11">
        <v>265</v>
      </c>
      <c r="D11">
        <v>326</v>
      </c>
      <c r="E11">
        <f t="shared" si="0"/>
        <v>821</v>
      </c>
      <c r="F11">
        <f t="shared" si="1"/>
        <v>4</v>
      </c>
      <c r="H11" s="14" t="str">
        <f t="shared" si="2"/>
        <v>|—————————————————————————————————————————⚫</v>
      </c>
      <c r="I11" s="15"/>
      <c r="J11" s="15"/>
      <c r="K11" s="15"/>
      <c r="L11" s="15"/>
      <c r="M11" s="15"/>
      <c r="N11" s="15"/>
      <c r="O11" s="9"/>
      <c r="P11" s="9"/>
    </row>
    <row r="12" spans="1:18" x14ac:dyDescent="0.25">
      <c r="A12" t="s">
        <v>74</v>
      </c>
      <c r="B12">
        <v>110</v>
      </c>
      <c r="C12">
        <v>205</v>
      </c>
      <c r="D12">
        <v>302</v>
      </c>
      <c r="E12">
        <f t="shared" si="0"/>
        <v>617</v>
      </c>
      <c r="F12">
        <f t="shared" si="1"/>
        <v>18</v>
      </c>
      <c r="H12" s="14" t="str">
        <f t="shared" si="2"/>
        <v>|——————————————————————————————⚫</v>
      </c>
      <c r="I12" s="15"/>
      <c r="J12" s="15"/>
      <c r="K12" s="15"/>
      <c r="L12" s="15"/>
      <c r="M12" s="15"/>
      <c r="N12" s="15"/>
      <c r="O12" s="9"/>
      <c r="P12" s="9"/>
    </row>
    <row r="13" spans="1:18" x14ac:dyDescent="0.25">
      <c r="A13" t="s">
        <v>75</v>
      </c>
      <c r="B13">
        <v>155</v>
      </c>
      <c r="C13">
        <v>112</v>
      </c>
      <c r="D13">
        <v>188</v>
      </c>
      <c r="E13">
        <f t="shared" si="0"/>
        <v>455</v>
      </c>
      <c r="F13">
        <f t="shared" si="1"/>
        <v>21</v>
      </c>
      <c r="H13" s="14" t="str">
        <f t="shared" si="2"/>
        <v>|——————————————————————⚫</v>
      </c>
      <c r="I13" s="15"/>
      <c r="J13" s="15"/>
      <c r="K13" s="15"/>
      <c r="L13" s="15"/>
      <c r="M13" s="15"/>
      <c r="N13" s="15"/>
      <c r="O13" s="9"/>
      <c r="P13" s="9"/>
    </row>
    <row r="14" spans="1:18" x14ac:dyDescent="0.25">
      <c r="A14" t="s">
        <v>76</v>
      </c>
      <c r="B14">
        <v>165</v>
      </c>
      <c r="C14">
        <v>225</v>
      </c>
      <c r="D14">
        <v>152</v>
      </c>
      <c r="E14">
        <f t="shared" si="0"/>
        <v>542</v>
      </c>
      <c r="F14">
        <f t="shared" si="1"/>
        <v>20</v>
      </c>
      <c r="H14" s="14" t="str">
        <f t="shared" si="2"/>
        <v>|———————————————————————————⚫</v>
      </c>
      <c r="I14" s="15"/>
      <c r="J14" s="15"/>
      <c r="K14" s="15"/>
      <c r="L14" s="15"/>
      <c r="M14" s="15"/>
      <c r="N14" s="15"/>
      <c r="O14" s="9"/>
      <c r="P14" s="9"/>
    </row>
    <row r="15" spans="1:18" x14ac:dyDescent="0.25">
      <c r="A15" t="s">
        <v>77</v>
      </c>
      <c r="B15">
        <v>190</v>
      </c>
      <c r="C15">
        <v>214</v>
      </c>
      <c r="D15">
        <v>245</v>
      </c>
      <c r="E15">
        <f t="shared" si="0"/>
        <v>649</v>
      </c>
      <c r="F15">
        <f t="shared" si="1"/>
        <v>16</v>
      </c>
      <c r="H15" s="14" t="str">
        <f t="shared" si="2"/>
        <v>|————————————————————————————————⚫</v>
      </c>
      <c r="I15" s="15"/>
      <c r="J15" s="15"/>
      <c r="K15" s="15"/>
      <c r="L15" s="15"/>
      <c r="M15" s="15"/>
      <c r="N15" s="15"/>
      <c r="O15" s="9"/>
      <c r="P15" s="9"/>
    </row>
    <row r="16" spans="1:18" x14ac:dyDescent="0.25">
      <c r="A16" t="s">
        <v>78</v>
      </c>
      <c r="B16">
        <v>210</v>
      </c>
      <c r="C16">
        <v>258</v>
      </c>
      <c r="D16">
        <v>354</v>
      </c>
      <c r="E16">
        <f t="shared" si="0"/>
        <v>822</v>
      </c>
      <c r="F16">
        <f t="shared" si="1"/>
        <v>3</v>
      </c>
      <c r="H16" s="14" t="str">
        <f t="shared" si="2"/>
        <v>|—————————————————————————————————————————⚫</v>
      </c>
      <c r="I16" s="15"/>
      <c r="J16" s="15"/>
      <c r="K16" s="15"/>
      <c r="L16" s="15"/>
      <c r="M16" s="15"/>
      <c r="N16" s="15"/>
      <c r="O16" s="9"/>
      <c r="P16" s="9"/>
    </row>
    <row r="17" spans="1:16" x14ac:dyDescent="0.25">
      <c r="A17" t="s">
        <v>79</v>
      </c>
      <c r="B17">
        <v>224</v>
      </c>
      <c r="C17">
        <v>301</v>
      </c>
      <c r="D17">
        <v>321</v>
      </c>
      <c r="E17">
        <f t="shared" si="0"/>
        <v>846</v>
      </c>
      <c r="F17">
        <f t="shared" si="1"/>
        <v>2</v>
      </c>
      <c r="H17" s="14" t="str">
        <f t="shared" si="2"/>
        <v>|——————————————————————————————————————————⚫</v>
      </c>
      <c r="I17" s="15"/>
      <c r="J17" s="15"/>
      <c r="K17" s="15"/>
      <c r="L17" s="15"/>
      <c r="M17" s="15"/>
      <c r="N17" s="15"/>
      <c r="O17" s="9"/>
      <c r="P17" s="9"/>
    </row>
    <row r="18" spans="1:16" x14ac:dyDescent="0.25">
      <c r="A18" t="s">
        <v>80</v>
      </c>
      <c r="B18">
        <v>290</v>
      </c>
      <c r="C18">
        <v>340</v>
      </c>
      <c r="D18">
        <v>365</v>
      </c>
      <c r="E18">
        <f t="shared" si="0"/>
        <v>995</v>
      </c>
      <c r="F18">
        <f t="shared" si="1"/>
        <v>1</v>
      </c>
      <c r="H18" s="14" t="str">
        <f t="shared" si="2"/>
        <v>|—————————————————————————————————————————————————⚫</v>
      </c>
      <c r="I18" s="15"/>
      <c r="J18" s="15"/>
      <c r="K18" s="15"/>
      <c r="L18" s="15"/>
      <c r="M18" s="15"/>
      <c r="N18" s="15"/>
      <c r="O18" s="9"/>
      <c r="P18" s="9"/>
    </row>
    <row r="19" spans="1:16" x14ac:dyDescent="0.25">
      <c r="A19" t="s">
        <v>81</v>
      </c>
      <c r="B19">
        <v>120</v>
      </c>
      <c r="C19">
        <v>210</v>
      </c>
      <c r="D19">
        <v>355</v>
      </c>
      <c r="E19">
        <f t="shared" si="0"/>
        <v>685</v>
      </c>
      <c r="F19">
        <f t="shared" si="1"/>
        <v>12</v>
      </c>
      <c r="H19" s="14" t="str">
        <f t="shared" si="2"/>
        <v>|——————————————————————————————————⚫</v>
      </c>
      <c r="I19" s="15"/>
      <c r="J19" s="15"/>
      <c r="K19" s="15"/>
      <c r="L19" s="15"/>
      <c r="M19" s="15"/>
      <c r="N19" s="15"/>
      <c r="O19" s="9"/>
      <c r="P19" s="9"/>
    </row>
    <row r="20" spans="1:16" x14ac:dyDescent="0.25">
      <c r="A20" t="s">
        <v>82</v>
      </c>
      <c r="B20">
        <v>190</v>
      </c>
      <c r="C20">
        <v>170</v>
      </c>
      <c r="D20">
        <v>300</v>
      </c>
      <c r="E20">
        <f t="shared" si="0"/>
        <v>660</v>
      </c>
      <c r="F20">
        <f t="shared" si="1"/>
        <v>14</v>
      </c>
      <c r="H20" s="14" t="str">
        <f t="shared" si="2"/>
        <v>|—————————————————————————————————⚫</v>
      </c>
      <c r="I20" s="15"/>
      <c r="J20" s="15"/>
      <c r="K20" s="15"/>
      <c r="L20" s="15"/>
      <c r="M20" s="15"/>
      <c r="N20" s="15"/>
      <c r="O20" s="9"/>
      <c r="P20" s="9"/>
    </row>
    <row r="21" spans="1:16" x14ac:dyDescent="0.25">
      <c r="A21" t="s">
        <v>83</v>
      </c>
      <c r="B21">
        <v>130</v>
      </c>
      <c r="C21">
        <v>215</v>
      </c>
      <c r="D21">
        <v>306</v>
      </c>
      <c r="E21">
        <f t="shared" si="0"/>
        <v>651</v>
      </c>
      <c r="F21">
        <f t="shared" si="1"/>
        <v>15</v>
      </c>
      <c r="H21" s="14" t="str">
        <f t="shared" si="2"/>
        <v>|————————————————————————————————⚫</v>
      </c>
      <c r="I21" s="15"/>
      <c r="J21" s="15"/>
      <c r="K21" s="15"/>
      <c r="L21" s="15"/>
      <c r="M21" s="15"/>
      <c r="N21" s="15"/>
      <c r="O21" s="9"/>
      <c r="P21" s="9"/>
    </row>
    <row r="22" spans="1:16" x14ac:dyDescent="0.25">
      <c r="A22" t="s">
        <v>84</v>
      </c>
      <c r="B22">
        <v>140</v>
      </c>
      <c r="C22">
        <v>220</v>
      </c>
      <c r="D22">
        <v>308</v>
      </c>
      <c r="E22">
        <f t="shared" si="0"/>
        <v>668</v>
      </c>
      <c r="F22">
        <f t="shared" si="1"/>
        <v>13</v>
      </c>
      <c r="H22" s="14" t="str">
        <f t="shared" si="2"/>
        <v>|—————————————————————————————————⚫</v>
      </c>
      <c r="I22" s="15"/>
      <c r="J22" s="15"/>
      <c r="K22" s="15"/>
      <c r="L22" s="15"/>
      <c r="M22" s="15"/>
      <c r="N22" s="15"/>
      <c r="O22" s="9"/>
      <c r="P22" s="9"/>
    </row>
    <row r="23" spans="1:16" x14ac:dyDescent="0.25">
      <c r="A23" t="s">
        <v>85</v>
      </c>
      <c r="B23">
        <v>150</v>
      </c>
      <c r="C23">
        <v>225</v>
      </c>
      <c r="D23">
        <v>250</v>
      </c>
      <c r="E23">
        <f t="shared" si="0"/>
        <v>625</v>
      </c>
      <c r="F23">
        <f t="shared" si="1"/>
        <v>17</v>
      </c>
      <c r="H23" s="14" t="str">
        <f t="shared" si="2"/>
        <v>|———————————————————————————————⚫</v>
      </c>
      <c r="I23" s="15"/>
      <c r="J23" s="15"/>
      <c r="K23" s="15"/>
      <c r="L23" s="15"/>
      <c r="M23" s="15"/>
      <c r="N23" s="15"/>
      <c r="O23" s="9"/>
      <c r="P23" s="9"/>
    </row>
    <row r="24" spans="1:16" x14ac:dyDescent="0.25">
      <c r="A24" t="s">
        <v>86</v>
      </c>
      <c r="B24">
        <v>160</v>
      </c>
      <c r="C24">
        <v>230</v>
      </c>
      <c r="D24">
        <v>312</v>
      </c>
      <c r="E24">
        <f t="shared" si="0"/>
        <v>702</v>
      </c>
      <c r="F24">
        <f t="shared" si="1"/>
        <v>9</v>
      </c>
      <c r="H24" s="14" t="str">
        <f t="shared" si="2"/>
        <v>|———————————————————————————————————⚫</v>
      </c>
      <c r="I24" s="15"/>
      <c r="J24" s="15"/>
      <c r="K24" s="15"/>
      <c r="L24" s="15"/>
      <c r="M24" s="15"/>
      <c r="N24" s="15"/>
      <c r="O24" s="9"/>
      <c r="P24" s="9"/>
    </row>
    <row r="25" spans="1:16" x14ac:dyDescent="0.25">
      <c r="A25" t="s">
        <v>87</v>
      </c>
      <c r="B25">
        <v>170</v>
      </c>
      <c r="C25">
        <v>235</v>
      </c>
      <c r="D25">
        <v>288</v>
      </c>
      <c r="E25">
        <f t="shared" si="0"/>
        <v>693</v>
      </c>
      <c r="F25">
        <f t="shared" si="1"/>
        <v>11</v>
      </c>
      <c r="H25" s="14" t="str">
        <f t="shared" si="2"/>
        <v>|——————————————————————————————————⚫</v>
      </c>
      <c r="I25" s="15"/>
      <c r="J25" s="15"/>
      <c r="K25" s="15"/>
      <c r="L25" s="15"/>
      <c r="M25" s="15"/>
      <c r="N25" s="15"/>
      <c r="O25" s="9"/>
      <c r="P25" s="9"/>
    </row>
    <row r="26" spans="1:16" x14ac:dyDescent="0.25">
      <c r="A26" t="s">
        <v>88</v>
      </c>
      <c r="B26">
        <v>180</v>
      </c>
      <c r="C26">
        <v>240</v>
      </c>
      <c r="D26">
        <v>316</v>
      </c>
      <c r="E26">
        <f t="shared" si="0"/>
        <v>736</v>
      </c>
      <c r="F26">
        <f t="shared" si="1"/>
        <v>8</v>
      </c>
      <c r="H26" s="14" t="str">
        <f t="shared" si="2"/>
        <v>|————————————————————————————————————⚫</v>
      </c>
      <c r="I26" s="15"/>
      <c r="J26" s="15"/>
      <c r="K26" s="15"/>
      <c r="L26" s="15"/>
      <c r="M26" s="15"/>
      <c r="N26" s="15"/>
      <c r="O26" s="9"/>
      <c r="P26" s="9"/>
    </row>
    <row r="28" spans="1:16" x14ac:dyDescent="0.25">
      <c r="D28" t="s">
        <v>48</v>
      </c>
      <c r="E28">
        <f>MAX($E$6:$E$26)</f>
        <v>995</v>
      </c>
    </row>
    <row r="29" spans="1:16" x14ac:dyDescent="0.25">
      <c r="D29" s="13" t="s">
        <v>89</v>
      </c>
      <c r="E29">
        <f>MAX($F$6:$F$26)</f>
        <v>21</v>
      </c>
      <c r="H29" t="s">
        <v>44</v>
      </c>
      <c r="I29" t="s">
        <v>91</v>
      </c>
    </row>
    <row r="30" spans="1:16" x14ac:dyDescent="0.25">
      <c r="H30" t="s">
        <v>45</v>
      </c>
      <c r="I30" t="s">
        <v>91</v>
      </c>
    </row>
    <row r="31" spans="1:16" x14ac:dyDescent="0.25">
      <c r="H31" t="s">
        <v>46</v>
      </c>
      <c r="I31" t="s">
        <v>47</v>
      </c>
    </row>
  </sheetData>
  <sortState xmlns:xlrd2="http://schemas.microsoft.com/office/spreadsheetml/2017/richdata2" ref="A6:F26">
    <sortCondition ref="A7:A26"/>
  </sortState>
  <conditionalFormatting sqref="A6:F26">
    <cfRule type="expression" dxfId="5" priority="1">
      <formula>$F6=$E$29</formula>
    </cfRule>
    <cfRule type="expression" dxfId="4" priority="2">
      <formula>$E6=$E$28</formula>
    </cfRule>
  </conditionalFormatting>
  <conditionalFormatting sqref="E6:E26">
    <cfRule type="dataBar" priority="9">
      <dataBar>
        <cfvo type="min"/>
        <cfvo type="formula" val="$E$28*1.4"/>
        <color rgb="FF638EC6"/>
      </dataBar>
      <extLst>
        <ext xmlns:x14="http://schemas.microsoft.com/office/spreadsheetml/2009/9/main" uri="{B025F937-C7B1-47D3-B67F-A62EFF666E3E}">
          <x14:id>{6EE57916-A88F-413C-9907-2F0361FB8014}</x14:id>
        </ext>
      </extLst>
    </cfRule>
  </conditionalFormatting>
  <conditionalFormatting sqref="F6:F26">
    <cfRule type="top10" dxfId="3" priority="4" bottom="1" rank="3"/>
    <cfRule type="top10" dxfId="2" priority="5" rank="3"/>
  </conditionalFormatting>
  <conditionalFormatting sqref="H6:H26">
    <cfRule type="expression" dxfId="1" priority="3">
      <formula>F6&gt;E$29-3</formula>
    </cfRule>
    <cfRule type="expression" dxfId="0" priority="6">
      <formula>F6&lt;4</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EE57916-A88F-413C-9907-2F0361FB8014}">
            <x14:dataBar minLength="0" maxLength="100" border="1" negativeBarBorderColorSameAsPositive="0">
              <x14:cfvo type="autoMin"/>
              <x14:cfvo type="formula">
                <xm:f>$E$28*1.4</xm:f>
              </x14:cfvo>
              <x14:borderColor rgb="FF638EC6"/>
              <x14:negativeFillColor rgb="FFFF0000"/>
              <x14:negativeBorderColor rgb="FFFF0000"/>
              <x14:axisColor rgb="FF000000"/>
            </x14:dataBar>
          </x14:cfRule>
          <xm:sqref>E6:E26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4B0E4-3A24-44BC-B775-C0C5BA7BF5EB}">
  <sheetPr>
    <tabColor theme="8"/>
  </sheetPr>
  <dimension ref="A1:N31"/>
  <sheetViews>
    <sheetView workbookViewId="0">
      <selection activeCell="I23" sqref="I23"/>
    </sheetView>
  </sheetViews>
  <sheetFormatPr defaultColWidth="11.42578125" defaultRowHeight="15" x14ac:dyDescent="0.25"/>
  <cols>
    <col min="1" max="1" width="13.7109375" customWidth="1"/>
  </cols>
  <sheetData>
    <row r="1" spans="1:14" s="8" customFormat="1" ht="73.5" customHeight="1" x14ac:dyDescent="0.25">
      <c r="A1" s="8" t="e" vm="2">
        <f>Variables!$A$1</f>
        <v>#VALUE!</v>
      </c>
      <c r="G1" s="11"/>
    </row>
    <row r="2" spans="1:14" s="10" customFormat="1" ht="8.1" customHeight="1" x14ac:dyDescent="0.25">
      <c r="G2" s="12"/>
    </row>
    <row r="4" spans="1:14" ht="15.75" thickBot="1" x14ac:dyDescent="0.3">
      <c r="N4" s="22" t="s">
        <v>49</v>
      </c>
    </row>
    <row r="5" spans="1:14" ht="15.75" thickBot="1" x14ac:dyDescent="0.3">
      <c r="N5" s="23"/>
    </row>
    <row r="6" spans="1:14" ht="15.75" thickBot="1" x14ac:dyDescent="0.3">
      <c r="N6" s="23"/>
    </row>
    <row r="7" spans="1:14" ht="15.75" thickBot="1" x14ac:dyDescent="0.3">
      <c r="N7" s="23"/>
    </row>
    <row r="8" spans="1:14" ht="15.75" thickBot="1" x14ac:dyDescent="0.3">
      <c r="N8" s="23"/>
    </row>
    <row r="9" spans="1:14" ht="15.75" thickBot="1" x14ac:dyDescent="0.3">
      <c r="N9" s="24"/>
    </row>
    <row r="12" spans="1:14" ht="15.75" thickBot="1" x14ac:dyDescent="0.3">
      <c r="N12" s="22" t="s">
        <v>50</v>
      </c>
    </row>
    <row r="13" spans="1:14" ht="19.5" thickBot="1" x14ac:dyDescent="0.35">
      <c r="M13" s="16"/>
      <c r="N13" s="23"/>
    </row>
    <row r="14" spans="1:14" ht="15.75" thickBot="1" x14ac:dyDescent="0.3">
      <c r="N14" s="25"/>
    </row>
    <row r="15" spans="1:14" ht="15.75" thickBot="1" x14ac:dyDescent="0.3">
      <c r="N15" s="25"/>
    </row>
    <row r="16" spans="1:14" ht="15.75" thickBot="1" x14ac:dyDescent="0.3">
      <c r="N16" s="23"/>
    </row>
    <row r="17" spans="4:14" ht="15.75" thickBot="1" x14ac:dyDescent="0.3">
      <c r="N17" s="24"/>
    </row>
    <row r="19" spans="4:14" ht="18.75" x14ac:dyDescent="0.3">
      <c r="D19" s="16"/>
    </row>
    <row r="20" spans="4:14" ht="15.75" thickBot="1" x14ac:dyDescent="0.3">
      <c r="N20" s="22" t="s">
        <v>51</v>
      </c>
    </row>
    <row r="21" spans="4:14" ht="15.75" thickBot="1" x14ac:dyDescent="0.3">
      <c r="N21" s="23"/>
    </row>
    <row r="22" spans="4:14" ht="15.75" thickBot="1" x14ac:dyDescent="0.3">
      <c r="N22" s="23"/>
    </row>
    <row r="23" spans="4:14" ht="15.75" thickBot="1" x14ac:dyDescent="0.3">
      <c r="N23" s="23"/>
    </row>
    <row r="24" spans="4:14" ht="15.75" thickBot="1" x14ac:dyDescent="0.3">
      <c r="N24" s="23"/>
    </row>
    <row r="25" spans="4:14" ht="15.75" thickBot="1" x14ac:dyDescent="0.3">
      <c r="N25" s="24"/>
    </row>
    <row r="26" spans="4:14" x14ac:dyDescent="0.25">
      <c r="M26" t="s">
        <v>52</v>
      </c>
      <c r="N26">
        <v>10000</v>
      </c>
    </row>
    <row r="28" spans="4:14" ht="15.75" thickBot="1" x14ac:dyDescent="0.3">
      <c r="N28" s="22" t="s">
        <v>53</v>
      </c>
    </row>
    <row r="29" spans="4:14" ht="15.75" thickBot="1" x14ac:dyDescent="0.3">
      <c r="N29" s="23"/>
    </row>
    <row r="30" spans="4:14" ht="15.75" thickBot="1" x14ac:dyDescent="0.3">
      <c r="N30" s="23"/>
    </row>
    <row r="31" spans="4:14" ht="15.75" thickBot="1" x14ac:dyDescent="0.3">
      <c r="N31" s="24"/>
    </row>
  </sheetData>
  <dataValidations count="4">
    <dataValidation type="whole" allowBlank="1" showInputMessage="1" showErrorMessage="1" sqref="N5:N9" xr:uid="{6C0789F2-6A5C-4D96-AC22-4EB9C8A14E31}">
      <formula1>1000</formula1>
      <formula2>9999</formula2>
    </dataValidation>
    <dataValidation type="date" allowBlank="1" showInputMessage="1" showErrorMessage="1" sqref="N13:N17" xr:uid="{9980D88E-8CCD-44CA-BB9B-4DE23157775A}">
      <formula1>45658</formula1>
      <formula2>46022</formula2>
    </dataValidation>
    <dataValidation type="custom" allowBlank="1" showInputMessage="1" showErrorMessage="1" sqref="N21:N25" xr:uid="{FA5E5E95-5D84-45CF-9F12-7B43788F6459}">
      <formula1>SUM($N$21:$N$25) &lt; $N$26</formula1>
    </dataValidation>
    <dataValidation type="custom" allowBlank="1" showInputMessage="1" showErrorMessage="1" sqref="N29:N31" xr:uid="{5FFF7312-9237-477E-A323-532BFE86EDBE}">
      <formula1>EXACT(LEFT(N29,4),"PROD")</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38A65-84E7-43A9-86F8-969CC563BF35}">
  <sheetPr>
    <tabColor theme="8"/>
  </sheetPr>
  <dimension ref="A1:N29"/>
  <sheetViews>
    <sheetView topLeftCell="C1" workbookViewId="0">
      <selection activeCell="M9" sqref="M9"/>
    </sheetView>
  </sheetViews>
  <sheetFormatPr defaultColWidth="11.42578125" defaultRowHeight="15" x14ac:dyDescent="0.25"/>
  <cols>
    <col min="1" max="1" width="13.5703125" customWidth="1"/>
    <col min="14" max="14" width="14.7109375" customWidth="1"/>
    <col min="15" max="15" width="7.28515625" customWidth="1"/>
  </cols>
  <sheetData>
    <row r="1" spans="1:14" s="8" customFormat="1" ht="73.5" customHeight="1" x14ac:dyDescent="0.25">
      <c r="A1" s="8" t="e" vm="2">
        <f>Variables!$A$1</f>
        <v>#VALUE!</v>
      </c>
      <c r="G1" s="11"/>
    </row>
    <row r="2" spans="1:14" s="10" customFormat="1" ht="8.1" customHeight="1" x14ac:dyDescent="0.25">
      <c r="G2" s="12"/>
    </row>
    <row r="4" spans="1:14" ht="15.75" thickBot="1" x14ac:dyDescent="0.3">
      <c r="N4" s="7" t="s">
        <v>92</v>
      </c>
    </row>
    <row r="5" spans="1:14" ht="15.75" thickBot="1" x14ac:dyDescent="0.3">
      <c r="N5" s="24"/>
    </row>
    <row r="6" spans="1:14" ht="15.75" thickBot="1" x14ac:dyDescent="0.3">
      <c r="N6" s="24"/>
    </row>
    <row r="7" spans="1:14" ht="15.75" thickBot="1" x14ac:dyDescent="0.3">
      <c r="N7" s="24"/>
    </row>
    <row r="8" spans="1:14" ht="15.75" thickBot="1" x14ac:dyDescent="0.3">
      <c r="N8" s="24"/>
    </row>
    <row r="11" spans="1:14" ht="15.75" thickBot="1" x14ac:dyDescent="0.3">
      <c r="N11" s="7" t="s">
        <v>93</v>
      </c>
    </row>
    <row r="12" spans="1:14" ht="15.75" thickBot="1" x14ac:dyDescent="0.3">
      <c r="N12" s="24"/>
    </row>
    <row r="13" spans="1:14" ht="19.5" thickBot="1" x14ac:dyDescent="0.35">
      <c r="M13" s="16"/>
      <c r="N13" s="24"/>
    </row>
    <row r="14" spans="1:14" ht="15.75" thickBot="1" x14ac:dyDescent="0.3">
      <c r="N14" s="24"/>
    </row>
    <row r="15" spans="1:14" ht="15.75" thickBot="1" x14ac:dyDescent="0.3">
      <c r="N15" s="24"/>
    </row>
    <row r="18" spans="4:14" ht="15.75" thickBot="1" x14ac:dyDescent="0.3">
      <c r="N18" s="7" t="s">
        <v>94</v>
      </c>
    </row>
    <row r="19" spans="4:14" ht="19.5" thickBot="1" x14ac:dyDescent="0.35">
      <c r="D19" s="16"/>
      <c r="N19" s="24"/>
    </row>
    <row r="20" spans="4:14" ht="15.75" thickBot="1" x14ac:dyDescent="0.3">
      <c r="N20" s="24"/>
    </row>
    <row r="21" spans="4:14" ht="15.75" thickBot="1" x14ac:dyDescent="0.3">
      <c r="N21" s="24"/>
    </row>
    <row r="22" spans="4:14" ht="15.75" thickBot="1" x14ac:dyDescent="0.3">
      <c r="N22" s="24"/>
    </row>
    <row r="25" spans="4:14" ht="15.75" thickBot="1" x14ac:dyDescent="0.3">
      <c r="N25" s="7" t="s">
        <v>95</v>
      </c>
    </row>
    <row r="26" spans="4:14" ht="15.75" thickBot="1" x14ac:dyDescent="0.3">
      <c r="N26" s="24"/>
    </row>
    <row r="27" spans="4:14" ht="15.75" thickBot="1" x14ac:dyDescent="0.3">
      <c r="N27" s="24"/>
    </row>
    <row r="28" spans="4:14" ht="15.75" thickBot="1" x14ac:dyDescent="0.3">
      <c r="N28" s="24"/>
    </row>
    <row r="29" spans="4:14" ht="15.75" thickBot="1" x14ac:dyDescent="0.3">
      <c r="N29" s="24"/>
    </row>
  </sheetData>
  <dataValidations count="3">
    <dataValidation type="list" allowBlank="1" showInputMessage="1" showErrorMessage="1" sqref="N5:N8" xr:uid="{9C724ED7-FFB1-4567-A01A-800B7766F541}">
      <formula1>"Vaud,Genève,Berne,Zurich,Fribourg"</formula1>
    </dataValidation>
    <dataValidation type="list" allowBlank="1" showInputMessage="1" showErrorMessage="1" sqref="N19:N22" xr:uid="{A3DDE952-FA26-4C0D-B30E-FC2B1003463F}">
      <formula1>liste_cantons</formula1>
    </dataValidation>
    <dataValidation type="list" allowBlank="1" showInputMessage="1" showErrorMessage="1" sqref="N26:N29" xr:uid="{3984A5CB-4727-4885-A0D5-05A8CD739CAC}">
      <formula1>#REF!</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68D9EAD-5501-4179-8501-A6767830A28B}">
          <x14:formula1>
            <xm:f>Variables!$B$11:$B$15</xm:f>
          </x14:formula1>
          <xm:sqref>N12:N15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B923B-B14A-42A2-B764-A8B0A2951D4D}">
  <sheetPr>
    <tabColor theme="8"/>
  </sheetPr>
  <dimension ref="A1:S23"/>
  <sheetViews>
    <sheetView zoomScale="96" zoomScaleNormal="96" workbookViewId="0">
      <selection activeCell="W8" sqref="W8"/>
    </sheetView>
  </sheetViews>
  <sheetFormatPr defaultColWidth="11.42578125" defaultRowHeight="15" x14ac:dyDescent="0.25"/>
  <cols>
    <col min="1" max="1" width="12.85546875" customWidth="1"/>
  </cols>
  <sheetData>
    <row r="1" spans="1:7" s="8" customFormat="1" ht="73.5" customHeight="1" x14ac:dyDescent="0.25">
      <c r="A1" s="8" t="e" vm="2">
        <f>Variables!$A$1</f>
        <v>#VALUE!</v>
      </c>
      <c r="G1" s="11"/>
    </row>
    <row r="2" spans="1:7" s="10" customFormat="1" ht="8.1" customHeight="1" x14ac:dyDescent="0.25">
      <c r="G2" s="12"/>
    </row>
    <row r="23" spans="19:19" ht="18.75" x14ac:dyDescent="0.3">
      <c r="S23" s="16"/>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2A940-CF94-4F8A-8528-70772D51303A}">
  <sheetPr>
    <tabColor rgb="FFFFC000"/>
  </sheetPr>
  <dimension ref="A1:F24"/>
  <sheetViews>
    <sheetView workbookViewId="0"/>
  </sheetViews>
  <sheetFormatPr defaultColWidth="9.140625" defaultRowHeight="15" x14ac:dyDescent="0.25"/>
  <cols>
    <col min="1" max="1" width="11.85546875" customWidth="1"/>
    <col min="6" max="6" width="13.5703125" bestFit="1" customWidth="1"/>
  </cols>
  <sheetData>
    <row r="1" spans="1:6" x14ac:dyDescent="0.25">
      <c r="A1" t="s">
        <v>54</v>
      </c>
      <c r="B1" t="s">
        <v>1</v>
      </c>
      <c r="C1" t="s">
        <v>2</v>
      </c>
      <c r="D1" s="2" t="s">
        <v>3</v>
      </c>
      <c r="E1" t="s">
        <v>0</v>
      </c>
      <c r="F1" s="3" t="s">
        <v>4</v>
      </c>
    </row>
    <row r="2" spans="1:6" x14ac:dyDescent="0.25">
      <c r="A2" t="s">
        <v>6</v>
      </c>
      <c r="B2">
        <v>100</v>
      </c>
      <c r="C2">
        <v>200</v>
      </c>
      <c r="D2">
        <v>300</v>
      </c>
      <c r="E2">
        <f t="shared" ref="E2:E24" si="0">SUM(B2:D2)</f>
        <v>600</v>
      </c>
      <c r="F2" s="3">
        <f>tbl_xlookup[[#This Row],[TOTAL]]*(1+_xlfn.XLOOKUP(tbl_xlookup[[#This Row],[COUNTRY]],Variables!$G$3:$G$8,Variables!$H$3:$H$8,,0))</f>
        <v>652.19999999999993</v>
      </c>
    </row>
    <row r="3" spans="1:6" x14ac:dyDescent="0.25">
      <c r="A3" t="s">
        <v>9</v>
      </c>
      <c r="B3">
        <v>110</v>
      </c>
      <c r="C3">
        <v>205</v>
      </c>
      <c r="D3">
        <v>302</v>
      </c>
      <c r="E3">
        <f t="shared" si="0"/>
        <v>617</v>
      </c>
      <c r="F3" s="3">
        <f>tbl_xlookup[[#This Row],[TOTAL]]*(1+_xlfn.XLOOKUP(tbl_xlookup[[#This Row],[COUNTRY]],Variables!$G$3:$G$8,Variables!$H$3:$H$8,,0))</f>
        <v>666.36</v>
      </c>
    </row>
    <row r="4" spans="1:6" x14ac:dyDescent="0.25">
      <c r="A4" t="s">
        <v>9</v>
      </c>
      <c r="B4">
        <v>120</v>
      </c>
      <c r="C4">
        <v>210</v>
      </c>
      <c r="D4">
        <v>304</v>
      </c>
      <c r="E4">
        <f t="shared" si="0"/>
        <v>634</v>
      </c>
      <c r="F4" s="3">
        <f>tbl_xlookup[[#This Row],[TOTAL]]*(1+_xlfn.XLOOKUP(tbl_xlookup[[#This Row],[COUNTRY]],Variables!$G$3:$G$8,Variables!$H$3:$H$8,,0))</f>
        <v>684.72</v>
      </c>
    </row>
    <row r="5" spans="1:6" x14ac:dyDescent="0.25">
      <c r="A5" t="s">
        <v>6</v>
      </c>
      <c r="B5">
        <v>130</v>
      </c>
      <c r="C5">
        <v>215</v>
      </c>
      <c r="D5">
        <v>306</v>
      </c>
      <c r="E5">
        <f t="shared" si="0"/>
        <v>651</v>
      </c>
      <c r="F5" s="3">
        <f>tbl_xlookup[[#This Row],[TOTAL]]*(1+_xlfn.XLOOKUP(tbl_xlookup[[#This Row],[COUNTRY]],Variables!$G$3:$G$8,Variables!$H$3:$H$8,,0))</f>
        <v>707.63699999999994</v>
      </c>
    </row>
    <row r="6" spans="1:6" x14ac:dyDescent="0.25">
      <c r="A6" t="s">
        <v>6</v>
      </c>
      <c r="B6">
        <v>140</v>
      </c>
      <c r="C6">
        <v>220</v>
      </c>
      <c r="D6">
        <v>308</v>
      </c>
      <c r="E6">
        <f t="shared" si="0"/>
        <v>668</v>
      </c>
      <c r="F6" s="3">
        <f>tbl_xlookup[[#This Row],[TOTAL]]*(1+_xlfn.XLOOKUP(tbl_xlookup[[#This Row],[COUNTRY]],Variables!$G$3:$G$8,Variables!$H$3:$H$8,,0))</f>
        <v>726.11599999999999</v>
      </c>
    </row>
    <row r="7" spans="1:6" x14ac:dyDescent="0.25">
      <c r="A7" t="s">
        <v>7</v>
      </c>
      <c r="B7">
        <v>150</v>
      </c>
      <c r="C7">
        <v>225</v>
      </c>
      <c r="D7">
        <v>310</v>
      </c>
      <c r="E7">
        <f t="shared" si="0"/>
        <v>685</v>
      </c>
      <c r="F7" s="3">
        <f>tbl_xlookup[[#This Row],[TOTAL]]*(1+_xlfn.XLOOKUP(tbl_xlookup[[#This Row],[COUNTRY]],Variables!$G$3:$G$8,Variables!$H$3:$H$8,,0))</f>
        <v>753.50000000000011</v>
      </c>
    </row>
    <row r="8" spans="1:6" x14ac:dyDescent="0.25">
      <c r="A8" t="s">
        <v>7</v>
      </c>
      <c r="B8">
        <v>160</v>
      </c>
      <c r="C8">
        <v>230</v>
      </c>
      <c r="D8">
        <v>312</v>
      </c>
      <c r="E8">
        <f t="shared" si="0"/>
        <v>702</v>
      </c>
      <c r="F8" s="3">
        <f>tbl_xlookup[[#This Row],[TOTAL]]*(1+_xlfn.XLOOKUP(tbl_xlookup[[#This Row],[COUNTRY]],Variables!$G$3:$G$8,Variables!$H$3:$H$8,,0))</f>
        <v>772.2</v>
      </c>
    </row>
    <row r="9" spans="1:6" x14ac:dyDescent="0.25">
      <c r="A9" t="s">
        <v>11</v>
      </c>
      <c r="B9">
        <v>170</v>
      </c>
      <c r="C9">
        <v>235</v>
      </c>
      <c r="D9">
        <v>314</v>
      </c>
      <c r="E9">
        <f t="shared" si="0"/>
        <v>719</v>
      </c>
      <c r="F9" s="3">
        <f>tbl_xlookup[[#This Row],[TOTAL]]*(1+_xlfn.XLOOKUP(tbl_xlookup[[#This Row],[COUNTRY]],Variables!$G$3:$G$8,Variables!$H$3:$H$8,,0))</f>
        <v>789.4620000000001</v>
      </c>
    </row>
    <row r="10" spans="1:6" x14ac:dyDescent="0.25">
      <c r="A10" t="s">
        <v>11</v>
      </c>
      <c r="B10">
        <v>180</v>
      </c>
      <c r="C10">
        <v>240</v>
      </c>
      <c r="D10">
        <v>316</v>
      </c>
      <c r="E10">
        <f t="shared" si="0"/>
        <v>736</v>
      </c>
      <c r="F10" s="3">
        <f>tbl_xlookup[[#This Row],[TOTAL]]*(1+_xlfn.XLOOKUP(tbl_xlookup[[#This Row],[COUNTRY]],Variables!$G$3:$G$8,Variables!$H$3:$H$8,,0))</f>
        <v>808.12800000000004</v>
      </c>
    </row>
    <row r="11" spans="1:6" x14ac:dyDescent="0.25">
      <c r="A11" t="s">
        <v>11</v>
      </c>
      <c r="B11">
        <v>190</v>
      </c>
      <c r="C11">
        <v>245</v>
      </c>
      <c r="D11">
        <v>318</v>
      </c>
      <c r="E11">
        <f t="shared" si="0"/>
        <v>753</v>
      </c>
      <c r="F11" s="3">
        <f>tbl_xlookup[[#This Row],[TOTAL]]*(1+_xlfn.XLOOKUP(tbl_xlookup[[#This Row],[COUNTRY]],Variables!$G$3:$G$8,Variables!$H$3:$H$8,,0))</f>
        <v>826.7940000000001</v>
      </c>
    </row>
    <row r="12" spans="1:6" x14ac:dyDescent="0.25">
      <c r="A12" t="s">
        <v>6</v>
      </c>
      <c r="B12">
        <v>200</v>
      </c>
      <c r="C12">
        <v>250</v>
      </c>
      <c r="D12">
        <v>320</v>
      </c>
      <c r="E12">
        <f t="shared" si="0"/>
        <v>770</v>
      </c>
      <c r="F12" s="3">
        <f>tbl_xlookup[[#This Row],[TOTAL]]*(1+_xlfn.XLOOKUP(tbl_xlookup[[#This Row],[COUNTRY]],Variables!$G$3:$G$8,Variables!$H$3:$H$8,,0))</f>
        <v>836.99</v>
      </c>
    </row>
    <row r="13" spans="1:6" x14ac:dyDescent="0.25">
      <c r="A13" t="s">
        <v>6</v>
      </c>
      <c r="B13">
        <v>210</v>
      </c>
      <c r="C13">
        <v>255</v>
      </c>
      <c r="D13">
        <v>322</v>
      </c>
      <c r="E13">
        <f t="shared" si="0"/>
        <v>787</v>
      </c>
      <c r="F13" s="3">
        <f>tbl_xlookup[[#This Row],[TOTAL]]*(1+_xlfn.XLOOKUP(tbl_xlookup[[#This Row],[COUNTRY]],Variables!$G$3:$G$8,Variables!$H$3:$H$8,,0))</f>
        <v>855.46899999999994</v>
      </c>
    </row>
    <row r="14" spans="1:6" x14ac:dyDescent="0.25">
      <c r="A14" t="s">
        <v>10</v>
      </c>
      <c r="B14">
        <v>220</v>
      </c>
      <c r="C14">
        <v>260</v>
      </c>
      <c r="D14">
        <v>324</v>
      </c>
      <c r="E14">
        <f t="shared" si="0"/>
        <v>804</v>
      </c>
      <c r="F14" s="3">
        <f>tbl_xlookup[[#This Row],[TOTAL]]*(1+_xlfn.XLOOKUP(tbl_xlookup[[#This Row],[COUNTRY]],Variables!$G$3:$G$8,Variables!$H$3:$H$8,,0))</f>
        <v>876.36</v>
      </c>
    </row>
    <row r="15" spans="1:6" x14ac:dyDescent="0.25">
      <c r="A15" t="s">
        <v>9</v>
      </c>
      <c r="B15">
        <v>230</v>
      </c>
      <c r="C15">
        <v>265</v>
      </c>
      <c r="D15">
        <v>326</v>
      </c>
      <c r="E15">
        <f t="shared" si="0"/>
        <v>821</v>
      </c>
      <c r="F15" s="3">
        <f>tbl_xlookup[[#This Row],[TOTAL]]*(1+_xlfn.XLOOKUP(tbl_xlookup[[#This Row],[COUNTRY]],Variables!$G$3:$G$8,Variables!$H$3:$H$8,,0))</f>
        <v>886.68000000000006</v>
      </c>
    </row>
    <row r="16" spans="1:6" x14ac:dyDescent="0.25">
      <c r="A16" t="s">
        <v>10</v>
      </c>
      <c r="B16">
        <v>240</v>
      </c>
      <c r="C16">
        <v>270</v>
      </c>
      <c r="D16">
        <v>328</v>
      </c>
      <c r="E16">
        <f t="shared" si="0"/>
        <v>838</v>
      </c>
      <c r="F16" s="3">
        <f>tbl_xlookup[[#This Row],[TOTAL]]*(1+_xlfn.XLOOKUP(tbl_xlookup[[#This Row],[COUNTRY]],Variables!$G$3:$G$8,Variables!$H$3:$H$8,,0))</f>
        <v>913.42000000000007</v>
      </c>
    </row>
    <row r="17" spans="1:6" x14ac:dyDescent="0.25">
      <c r="A17" t="s">
        <v>7</v>
      </c>
      <c r="B17">
        <v>150</v>
      </c>
      <c r="C17">
        <v>225</v>
      </c>
      <c r="D17">
        <v>310</v>
      </c>
      <c r="E17">
        <f t="shared" si="0"/>
        <v>685</v>
      </c>
      <c r="F17" s="3">
        <f>tbl_xlookup[[#This Row],[TOTAL]]*(1+_xlfn.XLOOKUP(tbl_xlookup[[#This Row],[COUNTRY]],Variables!$G$3:$G$8,Variables!$H$3:$H$8,,0))</f>
        <v>753.50000000000011</v>
      </c>
    </row>
    <row r="18" spans="1:6" x14ac:dyDescent="0.25">
      <c r="A18" t="s">
        <v>11</v>
      </c>
      <c r="B18">
        <v>160</v>
      </c>
      <c r="C18">
        <v>230</v>
      </c>
      <c r="D18">
        <v>312</v>
      </c>
      <c r="E18">
        <f t="shared" si="0"/>
        <v>702</v>
      </c>
      <c r="F18" s="3">
        <f>tbl_xlookup[[#This Row],[TOTAL]]*(1+_xlfn.XLOOKUP(tbl_xlookup[[#This Row],[COUNTRY]],Variables!$G$3:$G$8,Variables!$H$3:$H$8,,0))</f>
        <v>770.79600000000005</v>
      </c>
    </row>
    <row r="19" spans="1:6" x14ac:dyDescent="0.25">
      <c r="A19" t="s">
        <v>7</v>
      </c>
      <c r="B19">
        <v>170</v>
      </c>
      <c r="C19">
        <v>235</v>
      </c>
      <c r="D19">
        <v>314</v>
      </c>
      <c r="E19">
        <f t="shared" si="0"/>
        <v>719</v>
      </c>
      <c r="F19" s="3">
        <f>tbl_xlookup[[#This Row],[TOTAL]]*(1+_xlfn.XLOOKUP(tbl_xlookup[[#This Row],[COUNTRY]],Variables!$G$3:$G$8,Variables!$H$3:$H$8,,0))</f>
        <v>790.90000000000009</v>
      </c>
    </row>
    <row r="20" spans="1:6" x14ac:dyDescent="0.25">
      <c r="A20" t="s">
        <v>7</v>
      </c>
      <c r="B20">
        <v>180</v>
      </c>
      <c r="C20">
        <v>240</v>
      </c>
      <c r="D20">
        <v>316</v>
      </c>
      <c r="E20">
        <f t="shared" si="0"/>
        <v>736</v>
      </c>
      <c r="F20" s="3">
        <f>tbl_xlookup[[#This Row],[TOTAL]]*(1+_xlfn.XLOOKUP(tbl_xlookup[[#This Row],[COUNTRY]],Variables!$G$3:$G$8,Variables!$H$3:$H$8,,0))</f>
        <v>809.6</v>
      </c>
    </row>
    <row r="21" spans="1:6" x14ac:dyDescent="0.25">
      <c r="A21" t="s">
        <v>8</v>
      </c>
      <c r="B21">
        <v>190</v>
      </c>
      <c r="C21">
        <v>245</v>
      </c>
      <c r="D21">
        <v>318</v>
      </c>
      <c r="E21">
        <f t="shared" si="0"/>
        <v>753</v>
      </c>
      <c r="F21" s="3">
        <f>tbl_xlookup[[#This Row],[TOTAL]]*(1+_xlfn.XLOOKUP(tbl_xlookup[[#This Row],[COUNTRY]],Variables!$G$3:$G$8,Variables!$H$3:$H$8,,0))</f>
        <v>902.09399999999994</v>
      </c>
    </row>
    <row r="22" spans="1:6" x14ac:dyDescent="0.25">
      <c r="A22" t="s">
        <v>8</v>
      </c>
      <c r="B22">
        <v>170</v>
      </c>
      <c r="C22">
        <v>235</v>
      </c>
      <c r="D22">
        <v>314</v>
      </c>
      <c r="E22">
        <f t="shared" si="0"/>
        <v>719</v>
      </c>
      <c r="F22" s="3">
        <f>tbl_xlookup[[#This Row],[TOTAL]]*(1+_xlfn.XLOOKUP(tbl_xlookup[[#This Row],[COUNTRY]],Variables!$G$3:$G$8,Variables!$H$3:$H$8,,0))</f>
        <v>861.36199999999997</v>
      </c>
    </row>
    <row r="23" spans="1:6" x14ac:dyDescent="0.25">
      <c r="A23" t="s">
        <v>8</v>
      </c>
      <c r="B23">
        <v>180</v>
      </c>
      <c r="C23">
        <v>240</v>
      </c>
      <c r="D23">
        <v>316</v>
      </c>
      <c r="E23">
        <f t="shared" si="0"/>
        <v>736</v>
      </c>
      <c r="F23" s="3">
        <f>tbl_xlookup[[#This Row],[TOTAL]]*(1+_xlfn.XLOOKUP(tbl_xlookup[[#This Row],[COUNTRY]],Variables!$G$3:$G$8,Variables!$H$3:$H$8,,0))</f>
        <v>881.72799999999995</v>
      </c>
    </row>
    <row r="24" spans="1:6" x14ac:dyDescent="0.25">
      <c r="A24" t="s">
        <v>8</v>
      </c>
      <c r="B24">
        <v>190</v>
      </c>
      <c r="C24">
        <v>245</v>
      </c>
      <c r="D24">
        <v>318</v>
      </c>
      <c r="E24">
        <f t="shared" si="0"/>
        <v>753</v>
      </c>
      <c r="F24" s="3">
        <f>tbl_xlookup[[#This Row],[TOTAL]]*(1+_xlfn.XLOOKUP(tbl_xlookup[[#This Row],[COUNTRY]],Variables!$G$3:$G$8,Variables!$H$3:$H$8,,0))</f>
        <v>902.09399999999994</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3" ma:contentTypeDescription="Crée un document." ma:contentTypeScope="" ma:versionID="ee61e397712e1b6dc7739e32d7ccec9d">
  <xsd:schema xmlns:xsd="http://www.w3.org/2001/XMLSchema" xmlns:xs="http://www.w3.org/2001/XMLSchema" xmlns:p="http://schemas.microsoft.com/office/2006/metadata/properties" xmlns:ns2="037ed5ce-9e80-41f7-81a5-4f297c26d5d9" targetNamespace="http://schemas.microsoft.com/office/2006/metadata/properties" ma:root="true" ma:fieldsID="98486b18ee558285ff8da1122274ee2d"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665D513-2EC9-4174-9625-F5ABCCC55C41}">
  <ds:schemaRefs>
    <ds:schemaRef ds:uri="http://schemas.microsoft.com/sharepoint/v3/contenttype/forms"/>
  </ds:schemaRefs>
</ds:datastoreItem>
</file>

<file path=customXml/itemProps2.xml><?xml version="1.0" encoding="utf-8"?>
<ds:datastoreItem xmlns:ds="http://schemas.openxmlformats.org/officeDocument/2006/customXml" ds:itemID="{1967EFEB-3DC0-41F0-8E9D-881C9ED348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7ed5ce-9e80-41f7-81a5-4f297c26d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FE42BE-6B0A-4BB2-95E6-D50A2C8E3D4A}">
  <ds:schemaRefs>
    <ds:schemaRef ds:uri="http://schemas.microsoft.com/office/2006/documentManagement/types"/>
    <ds:schemaRef ds:uri="http://schemas.openxmlformats.org/package/2006/metadata/core-properties"/>
    <ds:schemaRef ds:uri="http://purl.org/dc/terms/"/>
    <ds:schemaRef ds:uri="http://purl.org/dc/dcmitype/"/>
    <ds:schemaRef ds:uri="http://schemas.microsoft.com/office/2006/metadata/properties"/>
    <ds:schemaRef ds:uri="http://schemas.microsoft.com/office/infopath/2007/PartnerControls"/>
    <ds:schemaRef ds:uri="http://www.w3.org/XML/1998/namespace"/>
    <ds:schemaRef ds:uri="http://purl.org/dc/elements/1.1/"/>
    <ds:schemaRef ds:uri="037ed5ce-9e80-41f7-81a5-4f297c26d5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Variables</vt:lpstr>
      <vt:lpstr>I1. Réf rel. et abs.</vt:lpstr>
      <vt:lpstr>I2. Cond. Formatting</vt:lpstr>
      <vt:lpstr>I2. Cond. Formatting (Ex)</vt:lpstr>
      <vt:lpstr>I2. Cond. Formatting (Sol.)</vt:lpstr>
      <vt:lpstr>I3. Data Validation</vt:lpstr>
      <vt:lpstr>I3. Dropdown list</vt:lpstr>
      <vt:lpstr>I4. Protection</vt:lpstr>
      <vt:lpstr>TBL+XLOOKUP</vt:lpstr>
      <vt:lpstr>CH</vt:lpstr>
      <vt:lpstr>D</vt:lpstr>
      <vt:lpstr>FR</vt:lpstr>
      <vt:lpstr>GB</vt:lpstr>
      <vt:lpstr>I3liste</vt:lpstr>
      <vt:lpstr>IT</vt:lpstr>
      <vt:lpstr>liste_cantons</vt:lpstr>
      <vt:lpstr>tax10pc</vt:lpstr>
      <vt:lpstr>tax12pc</vt:lpstr>
      <vt:lpstr>TVACH</vt:lpstr>
      <vt:lpstr>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Moreau, manager</dc:creator>
  <cp:keywords/>
  <dc:description/>
  <cp:lastModifiedBy>Ludovic Moreau, manager</cp:lastModifiedBy>
  <cp:revision/>
  <dcterms:created xsi:type="dcterms:W3CDTF">2023-11-16T07:59:57Z</dcterms:created>
  <dcterms:modified xsi:type="dcterms:W3CDTF">2026-06-02T19:26:16Z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Order">
    <vt:r8>71600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y fmtid="{D5CDD505-2E9C-101B-9397-08002B2CF9AE}" pid="8" name="SharedWithUsers">
    <vt:lpwstr/>
  </property>
  <property fmtid="{D5CDD505-2E9C-101B-9397-08002B2CF9AE}" pid="9" name="ModuleName">
    <vt:lpwstr>;#Refresh Base;#</vt:lpwstr>
  </property>
</Properties>
</file>