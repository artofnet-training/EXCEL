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lmoreau.sharepoint.com/sites/FORMATIONS2/EXCEL/EXCEL MODULES/SOLVEUR/"/>
    </mc:Choice>
  </mc:AlternateContent>
  <xr:revisionPtr revIDLastSave="2138" documentId="8_{B0AC1225-D235-498D-B572-B455D3B21CFF}" xr6:coauthVersionLast="47" xr6:coauthVersionMax="47" xr10:uidLastSave="{58F9F2D4-CDE3-4989-9633-8F5D22CCF3B6}"/>
  <bookViews>
    <workbookView xWindow="-28920" yWindow="-120" windowWidth="29040" windowHeight="17520" activeTab="2" xr2:uid="{74BF43AA-9FD5-43E1-90C7-BC36B4A71236}"/>
  </bookViews>
  <sheets>
    <sheet name="Synthèse de scénarios" sheetId="11" r:id="rId1"/>
    <sheet name="Scénarios" sheetId="9" r:id="rId2"/>
    <sheet name="Valeur cible" sheetId="3" r:id="rId3"/>
    <sheet name="Table de données" sheetId="5" r:id="rId4"/>
    <sheet name="Table de données (2 vars.)" sheetId="6" r:id="rId5"/>
    <sheet name="SOLVEUR 1" sheetId="7" r:id="rId6"/>
    <sheet name="SOLVEUR 2" sheetId="8" r:id="rId7"/>
  </sheets>
  <definedNames>
    <definedName name="solver_adj" localSheetId="5" hidden="1">'SOLVEUR 1'!$D$6:$D$15</definedName>
    <definedName name="solver_adj" localSheetId="6" hidden="1">'SOLVEUR 2'!$C$21:$E$26</definedName>
    <definedName name="solver_cvg" localSheetId="5" hidden="1">0.0001</definedName>
    <definedName name="solver_cvg" localSheetId="6" hidden="1">0.0001</definedName>
    <definedName name="solver_drv" localSheetId="5" hidden="1">2</definedName>
    <definedName name="solver_drv" localSheetId="6" hidden="1">1</definedName>
    <definedName name="solver_eng" localSheetId="5" hidden="1">2</definedName>
    <definedName name="solver_eng" localSheetId="6" hidden="1">1</definedName>
    <definedName name="solver_est" localSheetId="5" hidden="1">1</definedName>
    <definedName name="solver_est" localSheetId="6" hidden="1">1</definedName>
    <definedName name="solver_itr" localSheetId="5" hidden="1">2147483647</definedName>
    <definedName name="solver_itr" localSheetId="6" hidden="1">2147483647</definedName>
    <definedName name="solver_lhs1" localSheetId="5" hidden="1">'SOLVEUR 1'!$D$6:$D$15</definedName>
    <definedName name="solver_lhs1" localSheetId="6" hidden="1">'SOLVEUR 2'!$B$21:$B$26</definedName>
    <definedName name="solver_lhs2" localSheetId="5" hidden="1">'SOLVEUR 1'!$D$6:$D$15</definedName>
    <definedName name="solver_lhs2" localSheetId="6" hidden="1">'SOLVEUR 2'!$C$27:$E$27</definedName>
    <definedName name="solver_lhs3" localSheetId="5" hidden="1">'SOLVEUR 1'!$D$6:$D$15</definedName>
    <definedName name="solver_lhs3" localSheetId="6" hidden="1">'SOLVEUR 2'!$C$31:$E$31</definedName>
    <definedName name="solver_lhs4" localSheetId="5" hidden="1">'SOLVEUR 1'!$D$7</definedName>
    <definedName name="solver_lhs5" localSheetId="5" hidden="1">'SOLVEUR 1'!$D$8</definedName>
    <definedName name="solver_lhs6" localSheetId="5" hidden="1">'SOLVEUR 1'!$D$9</definedName>
    <definedName name="solver_lhs7" localSheetId="5" hidden="1">'SOLVEUR 1'!$E$6:$E$15</definedName>
    <definedName name="solver_mip" localSheetId="5" hidden="1">2147483647</definedName>
    <definedName name="solver_mip" localSheetId="6" hidden="1">2147483647</definedName>
    <definedName name="solver_mni" localSheetId="5" hidden="1">30</definedName>
    <definedName name="solver_mni" localSheetId="6" hidden="1">30</definedName>
    <definedName name="solver_mrt" localSheetId="5" hidden="1">0.075</definedName>
    <definedName name="solver_mrt" localSheetId="6" hidden="1">0.075</definedName>
    <definedName name="solver_msl" localSheetId="5" hidden="1">2</definedName>
    <definedName name="solver_msl" localSheetId="6" hidden="1">2</definedName>
    <definedName name="solver_neg" localSheetId="5" hidden="1">1</definedName>
    <definedName name="solver_neg" localSheetId="6" hidden="1">1</definedName>
    <definedName name="solver_nod" localSheetId="5" hidden="1">2147483647</definedName>
    <definedName name="solver_nod" localSheetId="6" hidden="1">2147483647</definedName>
    <definedName name="solver_num" localSheetId="5" hidden="1">7</definedName>
    <definedName name="solver_num" localSheetId="6" hidden="1">3</definedName>
    <definedName name="solver_nwt" localSheetId="5" hidden="1">1</definedName>
    <definedName name="solver_nwt" localSheetId="6" hidden="1">1</definedName>
    <definedName name="solver_opt" localSheetId="5" hidden="1">'SOLVEUR 1'!$E$16</definedName>
    <definedName name="solver_opt" localSheetId="6" hidden="1">'SOLVEUR 2'!$F$33</definedName>
    <definedName name="solver_pre" localSheetId="5" hidden="1">0.000001</definedName>
    <definedName name="solver_pre" localSheetId="6" hidden="1">0.000001</definedName>
    <definedName name="solver_rbv" localSheetId="5" hidden="1">2</definedName>
    <definedName name="solver_rbv" localSheetId="6" hidden="1">1</definedName>
    <definedName name="solver_rel1" localSheetId="5" hidden="1">1</definedName>
    <definedName name="solver_rel1" localSheetId="6" hidden="1">2</definedName>
    <definedName name="solver_rel2" localSheetId="5" hidden="1">4</definedName>
    <definedName name="solver_rel2" localSheetId="6" hidden="1">3</definedName>
    <definedName name="solver_rel3" localSheetId="5" hidden="1">3</definedName>
    <definedName name="solver_rel3" localSheetId="6" hidden="1">3</definedName>
    <definedName name="solver_rel4" localSheetId="5" hidden="1">1</definedName>
    <definedName name="solver_rel5" localSheetId="5" hidden="1">1</definedName>
    <definedName name="solver_rel6" localSheetId="5" hidden="1">1</definedName>
    <definedName name="solver_rel7" localSheetId="5" hidden="1">1</definedName>
    <definedName name="solver_rhs1" localSheetId="5" hidden="1">1000</definedName>
    <definedName name="solver_rhs1" localSheetId="6" hidden="1">'SOLVEUR 2'!$F$21:$F$26</definedName>
    <definedName name="solver_rhs2" localSheetId="5" hidden="1">"entier"</definedName>
    <definedName name="solver_rhs2" localSheetId="6" hidden="1">0</definedName>
    <definedName name="solver_rhs3" localSheetId="5" hidden="1">100</definedName>
    <definedName name="solver_rhs3" localSheetId="6" hidden="1">0</definedName>
    <definedName name="solver_rhs4" localSheetId="5" hidden="1">500</definedName>
    <definedName name="solver_rhs5" localSheetId="5" hidden="1">500</definedName>
    <definedName name="solver_rhs6" localSheetId="5" hidden="1">500</definedName>
    <definedName name="solver_rhs7" localSheetId="5" hidden="1">9500</definedName>
    <definedName name="solver_rlx" localSheetId="5" hidden="1">2</definedName>
    <definedName name="solver_rlx" localSheetId="6" hidden="1">2</definedName>
    <definedName name="solver_rsd" localSheetId="5" hidden="1">0</definedName>
    <definedName name="solver_rsd" localSheetId="6" hidden="1">0</definedName>
    <definedName name="solver_scl" localSheetId="5" hidden="1">2</definedName>
    <definedName name="solver_scl" localSheetId="6" hidden="1">1</definedName>
    <definedName name="solver_sho" localSheetId="5" hidden="1">2</definedName>
    <definedName name="solver_sho" localSheetId="6" hidden="1">2</definedName>
    <definedName name="solver_ssz" localSheetId="5" hidden="1">100</definedName>
    <definedName name="solver_ssz" localSheetId="6" hidden="1">100</definedName>
    <definedName name="solver_tim" localSheetId="5" hidden="1">2147483647</definedName>
    <definedName name="solver_tim" localSheetId="6" hidden="1">2147483647</definedName>
    <definedName name="solver_tol" localSheetId="5" hidden="1">0.01</definedName>
    <definedName name="solver_tol" localSheetId="6" hidden="1">0.01</definedName>
    <definedName name="solver_typ" localSheetId="5" hidden="1">3</definedName>
    <definedName name="solver_typ" localSheetId="6" hidden="1">2</definedName>
    <definedName name="solver_val" localSheetId="5" hidden="1">65000</definedName>
    <definedName name="solver_val" localSheetId="6" hidden="1">0</definedName>
    <definedName name="solver_ver" localSheetId="5"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8" l="1"/>
  <c r="D14" i="9"/>
  <c r="D15" i="9"/>
  <c r="D16" i="9"/>
  <c r="D13" i="9"/>
  <c r="D18" i="9" s="1"/>
  <c r="E33" i="8" l="1"/>
  <c r="D33" i="8"/>
  <c r="E27" i="8"/>
  <c r="E31" i="8" s="1"/>
  <c r="D27" i="8"/>
  <c r="D31" i="8" s="1"/>
  <c r="C27" i="8"/>
  <c r="C31" i="8" s="1"/>
  <c r="B27" i="8"/>
  <c r="F26" i="8"/>
  <c r="F25" i="8"/>
  <c r="F24" i="8"/>
  <c r="F23" i="8"/>
  <c r="F22" i="8"/>
  <c r="F21" i="8"/>
  <c r="E15" i="7"/>
  <c r="E14" i="7"/>
  <c r="E13" i="7"/>
  <c r="E12" i="7"/>
  <c r="E11" i="7"/>
  <c r="E10" i="7"/>
  <c r="E9" i="7"/>
  <c r="E8" i="7"/>
  <c r="E7" i="7"/>
  <c r="E6" i="7"/>
  <c r="C19" i="6"/>
  <c r="C21" i="6" s="1"/>
  <c r="C17" i="6"/>
  <c r="C22" i="6" s="1"/>
  <c r="C19" i="5"/>
  <c r="C20" i="5" s="1"/>
  <c r="E22" i="6"/>
  <c r="F27" i="8" l="1"/>
  <c r="F33" i="8"/>
  <c r="E16" i="7"/>
  <c r="C23" i="6"/>
  <c r="K26" i="6" s="1"/>
  <c r="N13" i="5"/>
  <c r="C21" i="5"/>
  <c r="O13" i="5"/>
  <c r="C22" i="5" l="1"/>
  <c r="Q13" i="5" s="1"/>
  <c r="P13" i="5"/>
  <c r="B12" i="3" l="1"/>
  <c r="D12" i="3"/>
</calcChain>
</file>

<file path=xl/sharedStrings.xml><?xml version="1.0" encoding="utf-8"?>
<sst xmlns="http://schemas.openxmlformats.org/spreadsheetml/2006/main" count="145" uniqueCount="122">
  <si>
    <t>TOTAL</t>
  </si>
  <si>
    <t>QUESTIONS</t>
  </si>
  <si>
    <t>1/ Combien de pièces dois-je vendre pour atteindre le seuil de rentabilité ?</t>
  </si>
  <si>
    <t>2/ Combien de pièces dois-je vendre pour réaliser un bénéfice de 10 000 ?</t>
  </si>
  <si>
    <t>Unités vendues</t>
  </si>
  <si>
    <t>Prix unitaire</t>
  </si>
  <si>
    <t>Coût unitaire</t>
  </si>
  <si>
    <t>Coût fixe</t>
  </si>
  <si>
    <t>Bénéfice total</t>
  </si>
  <si>
    <t>1/ Pour un seuil de rentabilité, le profit devrait être de 0</t>
  </si>
  <si>
    <t>Dans la boîte de dialogue de Valeur cible,  compléter comme suit:</t>
  </si>
  <si>
    <t>Il faut vendre 4546 cookies pour atteindre le seuil d’équilibre</t>
  </si>
  <si>
    <t>2/ Pour un bénéfice de 10 000</t>
  </si>
  <si>
    <t>Scénario Valeur cible</t>
  </si>
  <si>
    <t>Il faut vendre des cookies 9091 pour réaliser un bénéfice de 10 000</t>
  </si>
  <si>
    <t>REPONSES</t>
  </si>
  <si>
    <t>Scénario Table de données</t>
  </si>
  <si>
    <t>SAISIE</t>
  </si>
  <si>
    <t>Montant du prêt:</t>
  </si>
  <si>
    <t>Mensualité:</t>
  </si>
  <si>
    <t>Total payé:</t>
  </si>
  <si>
    <t>Total des intérêts:</t>
  </si>
  <si>
    <t>Prix d'achat:</t>
  </si>
  <si>
    <t xml:space="preserve">Variable </t>
  </si>
  <si>
    <t>investissement intitial:</t>
  </si>
  <si>
    <t>20% d'investissement intial</t>
  </si>
  <si>
    <t>durée du prêt (Mois):</t>
  </si>
  <si>
    <t>30 ans en mois</t>
  </si>
  <si>
    <t>taux d'intérêt:</t>
  </si>
  <si>
    <t>intérêt annuel octroyé par la banque</t>
  </si>
  <si>
    <t>CALCULS</t>
  </si>
  <si>
    <t>prix achat - 20%</t>
  </si>
  <si>
    <t xml:space="preserve"> fonction VPM(intérêt mensuel;nb de mois;montant à payer)</t>
  </si>
  <si>
    <t>Réponse: 322 000</t>
  </si>
  <si>
    <t>Scénario Table de données (2 variables)</t>
  </si>
  <si>
    <t>VARIABLES</t>
  </si>
  <si>
    <t>Nombre d'emails</t>
  </si>
  <si>
    <t>Taux de réponse</t>
  </si>
  <si>
    <t>PARAMETRES</t>
  </si>
  <si>
    <t>Impression par msg</t>
  </si>
  <si>
    <t>Coûts de mailing par msg</t>
  </si>
  <si>
    <t>Réponses (taux * nb email)</t>
  </si>
  <si>
    <t>Profit estimé par réponse</t>
  </si>
  <si>
    <t>Profit total</t>
  </si>
  <si>
    <t>Coûts d'envoi et d'impression</t>
  </si>
  <si>
    <t>Profit Net</t>
  </si>
  <si>
    <t>Nombre d'emails envoyés</t>
  </si>
  <si>
    <t>Taux de réponse estimé</t>
  </si>
  <si>
    <t>Coût par clic</t>
  </si>
  <si>
    <t>Frais de mailing de masse</t>
  </si>
  <si>
    <t>Nombre de réponses estimées</t>
  </si>
  <si>
    <t>Profit moyen estimée par réponse</t>
  </si>
  <si>
    <t>Coûts fixes</t>
  </si>
  <si>
    <t>NB de réponses * Profit estimeé par réponse</t>
  </si>
  <si>
    <t>Un taux de réponse minimum de 2.5% est nécessaire et au moins 300 000 emails doivent être envoyés.</t>
  </si>
  <si>
    <t>SOLVEUR</t>
  </si>
  <si>
    <t>BUDGET des projets 2025</t>
  </si>
  <si>
    <t>projet</t>
  </si>
  <si>
    <t>Coûts totaux</t>
  </si>
  <si>
    <t>projet 1</t>
  </si>
  <si>
    <t>projet 2</t>
  </si>
  <si>
    <t>projet 3</t>
  </si>
  <si>
    <t>projet 4</t>
  </si>
  <si>
    <t>projet 5</t>
  </si>
  <si>
    <t>projet 6</t>
  </si>
  <si>
    <t>projet 7</t>
  </si>
  <si>
    <t>projet 8</t>
  </si>
  <si>
    <t>projet 9</t>
  </si>
  <si>
    <t>projet 10</t>
  </si>
  <si>
    <t>Contraintes</t>
  </si>
  <si>
    <t>Le budget  total ne doit pas excéder</t>
  </si>
  <si>
    <t>Les coûts extraordinaires (nombre entier) ne doivent pas excéder</t>
  </si>
  <si>
    <t>Le  total des coûts par projet ne doit pas dépasser</t>
  </si>
  <si>
    <t>Les extras des projets 2, 3 et 4 ne doivent pas dépasser</t>
  </si>
  <si>
    <t>Coûts ordinaires</t>
  </si>
  <si>
    <t>Coûts marginaux</t>
  </si>
  <si>
    <t>SOLVEUR NON LINEAIRE</t>
  </si>
  <si>
    <t>Frais d'expédition</t>
  </si>
  <si>
    <t>Zurich</t>
  </si>
  <si>
    <t>Berne</t>
  </si>
  <si>
    <t>Genève</t>
  </si>
  <si>
    <t>Sion</t>
  </si>
  <si>
    <t>Lausanne</t>
  </si>
  <si>
    <t>Fribourg</t>
  </si>
  <si>
    <t>Nombre</t>
  </si>
  <si>
    <t>Qté à expédier depuis</t>
  </si>
  <si>
    <t>Nb à</t>
  </si>
  <si>
    <t>Boutique</t>
  </si>
  <si>
    <t>Désiré</t>
  </si>
  <si>
    <t>expédier</t>
  </si>
  <si>
    <t>Total</t>
  </si>
  <si>
    <t xml:space="preserve">Inventaire </t>
  </si>
  <si>
    <t>Inventaire initial</t>
  </si>
  <si>
    <t>NB restant</t>
  </si>
  <si>
    <t>Frais d'expédition:</t>
  </si>
  <si>
    <t>Nombre d'articles à expédier doit être égal au nombre désiré dans chaque magasin</t>
  </si>
  <si>
    <t>Les quantités expédiées ne peuvent pas être négatives</t>
  </si>
  <si>
    <t>Le nombre d'articles restant ne peut pas être négatif.</t>
  </si>
  <si>
    <t>Bienne</t>
  </si>
  <si>
    <t>Montreux</t>
  </si>
  <si>
    <t>Gestionnaire de scénarios</t>
  </si>
  <si>
    <t>Phases</t>
  </si>
  <si>
    <t>nb jours</t>
  </si>
  <si>
    <t>Coût/jour</t>
  </si>
  <si>
    <t>Etude</t>
  </si>
  <si>
    <t>Analyse</t>
  </si>
  <si>
    <t>Développement</t>
  </si>
  <si>
    <t>Installation</t>
  </si>
  <si>
    <t>TOTAL GLOBAL</t>
  </si>
  <si>
    <t>PROJET A (selon Matthieu)</t>
  </si>
  <si>
    <t>Fred</t>
  </si>
  <si>
    <t>Isabelle</t>
  </si>
  <si>
    <t>Estimations de nb jours  selon</t>
  </si>
  <si>
    <t>Sarah</t>
  </si>
  <si>
    <t>Synthèse de scénarios</t>
  </si>
  <si>
    <t>Cellules variables :</t>
  </si>
  <si>
    <t>Valeurs actuelles :</t>
  </si>
  <si>
    <t>Cellules résultantes :</t>
  </si>
  <si>
    <t>La colonne Valeurs actuelles affiche les valeurs des cellules variables</t>
  </si>
  <si>
    <t>au moment de la création du rapport de synthèse. Les cellules variables</t>
  </si>
  <si>
    <t>de chaque scénario se situent dans les colonnes grisées.</t>
  </si>
  <si>
    <t>comparaison des estimations Proet A
Modifié par: Ludovic Moreau le 10.02.2026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</si>
</sst>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 #,##0\ &quot;CHF&quot;_-;\-* #,##0\ &quot;CHF&quot;_-;_-* &quot;-&quot;\ &quot;CHF&quot;_-;_-@_-"/>
    <numFmt numFmtId="41" formatCode="_-* #,##0_-;\-* #,##0_-;_-* &quot;-&quot;_-;_-@_-"/>
    <numFmt numFmtId="44" formatCode="_-* #,##0.00\ &quot;CHF&quot;_-;\-* #,##0.00\ &quot;CHF&quot;_-;_-* &quot;-&quot;??\ &quot;CHF&quot;_-;_-@_-"/>
    <numFmt numFmtId="43" formatCode="_-* #,##0.00_-;\-* #,##0.00_-;_-* &quot;-&quot;??_-;_-@_-"/>
    <numFmt numFmtId="164" formatCode="_-* #,##0\ &quot;CHF&quot;_-;\-* #,##0\ &quot;CHF&quot;_-;_-* &quot;-&quot;??\ &quot;CHF&quot;_-;_-@_-"/>
    <numFmt numFmtId="165" formatCode="_-* #,##0\ [$CHF-100C]_-;\-* #,##0\ [$CHF-100C]_-;_-* &quot;-&quot;??\ [$CHF-100C]_-;_-@_-"/>
    <numFmt numFmtId="166" formatCode="&quot;$&quot;#,##0_);[Red]\(&quot;$&quot;#,##0\)"/>
    <numFmt numFmtId="167" formatCode="&quot;$&quot;#,##0.00_);[Red]\(&quot;$&quot;#,##0.00\)"/>
    <numFmt numFmtId="168" formatCode="_(* #,##0_);_(* \(#,##0\);_(* &quot;-&quot;??_);_(@_)"/>
  </numFmts>
  <fonts count="28"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b/>
      <sz val="11"/>
      <color rgb="FF006100"/>
      <name val="Calibri"/>
      <family val="2"/>
      <scheme val="minor"/>
    </font>
    <font>
      <b/>
      <sz val="14"/>
      <color theme="1"/>
      <name val="Calibri"/>
      <family val="2"/>
      <scheme val="minor"/>
    </font>
    <font>
      <sz val="11"/>
      <color theme="0"/>
      <name val="Calibri"/>
      <family val="2"/>
      <scheme val="minor"/>
    </font>
    <font>
      <sz val="48"/>
      <color theme="1"/>
      <name val="Calibri"/>
      <family val="2"/>
      <scheme val="minor"/>
    </font>
    <font>
      <b/>
      <sz val="12"/>
      <color theme="1"/>
      <name val="Calibri"/>
      <family val="2"/>
      <scheme val="minor"/>
    </font>
    <font>
      <sz val="24"/>
      <color theme="1"/>
      <name val="Calibri"/>
      <family val="2"/>
      <scheme val="minor"/>
    </font>
    <font>
      <sz val="12"/>
      <color theme="1"/>
      <name val="Calibri"/>
      <family val="2"/>
      <scheme val="minor"/>
    </font>
    <font>
      <sz val="14"/>
      <color theme="1"/>
      <name val="Calibri"/>
      <family val="2"/>
      <scheme val="minor"/>
    </font>
    <font>
      <sz val="12"/>
      <color rgb="FF9C5700"/>
      <name val="Calibri"/>
      <family val="2"/>
      <scheme val="minor"/>
    </font>
    <font>
      <sz val="12"/>
      <color rgb="FF006100"/>
      <name val="Calibri"/>
      <family val="2"/>
      <scheme val="minor"/>
    </font>
    <font>
      <b/>
      <sz val="11"/>
      <name val="Calibri"/>
      <family val="2"/>
      <scheme val="minor"/>
    </font>
    <font>
      <b/>
      <i/>
      <sz val="14"/>
      <color theme="1"/>
      <name val="Calibri"/>
      <family val="2"/>
      <scheme val="minor"/>
    </font>
    <font>
      <b/>
      <sz val="12"/>
      <name val="Calibri"/>
      <family val="2"/>
      <scheme val="minor"/>
    </font>
    <font>
      <b/>
      <i/>
      <sz val="11"/>
      <color theme="1"/>
      <name val="Calibri"/>
      <family val="2"/>
      <scheme val="minor"/>
    </font>
    <font>
      <sz val="18"/>
      <color theme="0"/>
      <name val="Calibri"/>
      <family val="2"/>
      <scheme val="minor"/>
    </font>
    <font>
      <sz val="11"/>
      <name val="Calibri"/>
      <family val="2"/>
      <scheme val="minor"/>
    </font>
    <font>
      <b/>
      <sz val="18"/>
      <color theme="0"/>
      <name val="Calibri"/>
      <family val="2"/>
      <scheme val="minor"/>
    </font>
    <font>
      <i/>
      <sz val="26"/>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18">
    <fill>
      <patternFill patternType="none"/>
    </fill>
    <fill>
      <patternFill patternType="gray125"/>
    </fill>
    <fill>
      <patternFill patternType="solid">
        <fgColor rgb="FFC6EFCE"/>
      </patternFill>
    </fill>
    <fill>
      <patternFill patternType="solid">
        <fgColor rgb="FFFFEB9C"/>
      </patternFill>
    </fill>
    <fill>
      <patternFill patternType="solid">
        <fgColor theme="7" tint="0.79998168889431442"/>
        <bgColor indexed="64"/>
      </patternFill>
    </fill>
    <fill>
      <patternFill patternType="solid">
        <fgColor theme="4"/>
      </patternFill>
    </fill>
    <fill>
      <patternFill patternType="solid">
        <fgColor theme="4" tint="0.79998168889431442"/>
        <bgColor indexed="65"/>
      </patternFill>
    </fill>
    <fill>
      <patternFill patternType="solid">
        <fgColor theme="2"/>
        <bgColor indexed="64"/>
      </patternFill>
    </fill>
    <fill>
      <patternFill patternType="solid">
        <fgColor theme="9" tint="0.79998168889431442"/>
        <bgColor indexed="64"/>
      </patternFill>
    </fill>
    <fill>
      <patternFill patternType="solid">
        <fgColor theme="7"/>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bgColor indexed="2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s>
  <cellStyleXfs count="8">
    <xf numFmtId="0" fontId="0" fillId="0" borderId="0"/>
    <xf numFmtId="4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43"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7" fillId="5" borderId="0" applyNumberFormat="0" applyBorder="0" applyAlignment="0" applyProtection="0"/>
  </cellStyleXfs>
  <cellXfs count="123">
    <xf numFmtId="0" fontId="0" fillId="0" borderId="0" xfId="0"/>
    <xf numFmtId="0" fontId="4" fillId="0" borderId="0" xfId="0" applyFont="1"/>
    <xf numFmtId="0" fontId="3" fillId="3" borderId="0" xfId="3"/>
    <xf numFmtId="0" fontId="4" fillId="4" borderId="0" xfId="0" applyFont="1" applyFill="1"/>
    <xf numFmtId="0" fontId="5" fillId="2" borderId="0" xfId="2" applyFont="1"/>
    <xf numFmtId="164" fontId="0" fillId="0" borderId="0" xfId="1" applyNumberFormat="1" applyFont="1"/>
    <xf numFmtId="0" fontId="0" fillId="7" borderId="0" xfId="0" applyFill="1"/>
    <xf numFmtId="0" fontId="8" fillId="7" borderId="1" xfId="0" applyFont="1" applyFill="1" applyBorder="1"/>
    <xf numFmtId="0" fontId="0" fillId="7" borderId="1" xfId="0" applyFill="1" applyBorder="1"/>
    <xf numFmtId="0" fontId="9" fillId="0" borderId="0" xfId="0" applyFont="1"/>
    <xf numFmtId="0" fontId="11" fillId="0" borderId="0" xfId="0" applyFont="1"/>
    <xf numFmtId="0" fontId="12" fillId="0" borderId="0" xfId="0" applyFont="1" applyAlignment="1">
      <alignment wrapText="1"/>
    </xf>
    <xf numFmtId="2" fontId="13" fillId="3" borderId="0" xfId="3" applyNumberFormat="1" applyFont="1"/>
    <xf numFmtId="2" fontId="11" fillId="0" borderId="0" xfId="1" applyNumberFormat="1" applyFont="1"/>
    <xf numFmtId="2" fontId="14" fillId="2" borderId="0" xfId="1" applyNumberFormat="1" applyFont="1" applyFill="1"/>
    <xf numFmtId="0" fontId="0" fillId="0" borderId="2" xfId="0" applyBorder="1"/>
    <xf numFmtId="165" fontId="0" fillId="8" borderId="2" xfId="0" applyNumberFormat="1" applyFill="1" applyBorder="1"/>
    <xf numFmtId="9" fontId="0" fillId="0" borderId="2" xfId="0" applyNumberFormat="1" applyBorder="1"/>
    <xf numFmtId="10" fontId="0" fillId="0" borderId="2" xfId="0" applyNumberFormat="1" applyBorder="1"/>
    <xf numFmtId="165" fontId="0" fillId="0" borderId="2" xfId="0" applyNumberFormat="1" applyBorder="1" applyProtection="1">
      <protection locked="0"/>
    </xf>
    <xf numFmtId="0" fontId="0" fillId="0" borderId="0" xfId="0" quotePrefix="1"/>
    <xf numFmtId="0" fontId="16" fillId="0" borderId="0" xfId="0" applyFont="1"/>
    <xf numFmtId="0" fontId="0" fillId="9" borderId="2" xfId="0" applyFill="1" applyBorder="1"/>
    <xf numFmtId="10" fontId="0" fillId="9" borderId="0" xfId="0" applyNumberFormat="1" applyFill="1"/>
    <xf numFmtId="9" fontId="0" fillId="9" borderId="0" xfId="0" applyNumberFormat="1" applyFill="1"/>
    <xf numFmtId="166" fontId="11" fillId="0" borderId="2" xfId="0" applyNumberFormat="1" applyFont="1" applyBorder="1"/>
    <xf numFmtId="0" fontId="11" fillId="0" borderId="3" xfId="0" applyFont="1" applyBorder="1" applyAlignment="1">
      <alignment horizontal="left" indent="1"/>
    </xf>
    <xf numFmtId="3" fontId="11" fillId="0" borderId="3" xfId="0" applyNumberFormat="1" applyFont="1" applyBorder="1"/>
    <xf numFmtId="10" fontId="11" fillId="0" borderId="3" xfId="0" applyNumberFormat="1" applyFont="1" applyBorder="1"/>
    <xf numFmtId="10" fontId="11" fillId="0" borderId="0" xfId="0" applyNumberFormat="1" applyFont="1"/>
    <xf numFmtId="0" fontId="11" fillId="0" borderId="6" xfId="0" applyFont="1" applyBorder="1" applyAlignment="1">
      <alignment horizontal="left" indent="1"/>
    </xf>
    <xf numFmtId="167" fontId="11" fillId="0" borderId="7" xfId="0" applyNumberFormat="1" applyFont="1" applyBorder="1"/>
    <xf numFmtId="168" fontId="11" fillId="0" borderId="7" xfId="4" applyNumberFormat="1" applyFont="1" applyBorder="1"/>
    <xf numFmtId="166" fontId="11" fillId="0" borderId="7" xfId="0" applyNumberFormat="1" applyFont="1" applyBorder="1"/>
    <xf numFmtId="0" fontId="6" fillId="0" borderId="8" xfId="0" applyFont="1" applyBorder="1" applyAlignment="1">
      <alignment horizontal="left" indent="1"/>
    </xf>
    <xf numFmtId="166" fontId="6" fillId="0" borderId="9" xfId="0" applyNumberFormat="1" applyFont="1" applyBorder="1"/>
    <xf numFmtId="0" fontId="0" fillId="8" borderId="0" xfId="0" applyFill="1"/>
    <xf numFmtId="0" fontId="0" fillId="8" borderId="2" xfId="0" applyFill="1" applyBorder="1"/>
    <xf numFmtId="10" fontId="0" fillId="8" borderId="2" xfId="0" applyNumberFormat="1" applyFill="1" applyBorder="1"/>
    <xf numFmtId="166" fontId="0" fillId="8" borderId="2" xfId="0" applyNumberFormat="1" applyFill="1" applyBorder="1"/>
    <xf numFmtId="0" fontId="18" fillId="8" borderId="0" xfId="0" applyFont="1" applyFill="1"/>
    <xf numFmtId="0" fontId="19" fillId="10" borderId="0" xfId="0" applyFont="1" applyFill="1" applyAlignment="1">
      <alignment horizontal="left"/>
    </xf>
    <xf numFmtId="0" fontId="0" fillId="10" borderId="0" xfId="0" applyFill="1"/>
    <xf numFmtId="0" fontId="6" fillId="11" borderId="1" xfId="0" applyFont="1" applyFill="1" applyBorder="1" applyAlignment="1">
      <alignment horizontal="centerContinuous"/>
    </xf>
    <xf numFmtId="0" fontId="12" fillId="11" borderId="0" xfId="0" applyFont="1" applyFill="1"/>
    <xf numFmtId="0" fontId="12" fillId="11" borderId="0" xfId="0" applyFont="1" applyFill="1" applyAlignment="1">
      <alignment horizontal="right"/>
    </xf>
    <xf numFmtId="0" fontId="0" fillId="6" borderId="10" xfId="0" applyFill="1" applyBorder="1"/>
    <xf numFmtId="0" fontId="15" fillId="6" borderId="11" xfId="0" applyFont="1" applyFill="1" applyBorder="1" applyAlignment="1">
      <alignment horizontal="right"/>
    </xf>
    <xf numFmtId="0" fontId="15" fillId="6" borderId="12" xfId="0" applyFont="1" applyFill="1" applyBorder="1" applyAlignment="1">
      <alignment horizontal="right"/>
    </xf>
    <xf numFmtId="0" fontId="15" fillId="6" borderId="13" xfId="0" applyFont="1" applyFill="1" applyBorder="1" applyAlignment="1">
      <alignment horizontal="center"/>
    </xf>
    <xf numFmtId="0" fontId="15" fillId="6" borderId="15" xfId="0" applyFont="1" applyFill="1" applyBorder="1" applyAlignment="1">
      <alignment horizontal="center"/>
    </xf>
    <xf numFmtId="0" fontId="15" fillId="6" borderId="15" xfId="0" applyFont="1" applyFill="1" applyBorder="1" applyAlignment="1">
      <alignment horizontal="center" vertical="center"/>
    </xf>
    <xf numFmtId="0" fontId="15" fillId="6" borderId="9" xfId="0" applyFont="1" applyFill="1" applyBorder="1" applyAlignment="1">
      <alignment horizontal="center"/>
    </xf>
    <xf numFmtId="0" fontId="15" fillId="6" borderId="17"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4" fillId="6" borderId="15" xfId="0" applyFont="1" applyFill="1" applyBorder="1" applyAlignment="1">
      <alignment horizontal="right"/>
    </xf>
    <xf numFmtId="0" fontId="4" fillId="6" borderId="9" xfId="0" applyFont="1" applyFill="1" applyBorder="1" applyAlignment="1">
      <alignment horizontal="center"/>
    </xf>
    <xf numFmtId="0" fontId="0" fillId="0" borderId="0" xfId="0" applyAlignment="1">
      <alignment horizontal="right"/>
    </xf>
    <xf numFmtId="38" fontId="0" fillId="0" borderId="0" xfId="0" applyNumberFormat="1" applyAlignment="1">
      <alignment horizontal="center"/>
    </xf>
    <xf numFmtId="0" fontId="15" fillId="0" borderId="18" xfId="0" applyFont="1" applyBorder="1" applyAlignment="1">
      <alignment vertical="center"/>
    </xf>
    <xf numFmtId="0" fontId="20" fillId="0" borderId="19" xfId="0" applyFont="1" applyBorder="1" applyAlignment="1">
      <alignment horizontal="right" vertical="center"/>
    </xf>
    <xf numFmtId="42" fontId="20" fillId="0" borderId="19" xfId="6" applyFont="1" applyBorder="1" applyAlignment="1">
      <alignment horizontal="center" vertical="center"/>
    </xf>
    <xf numFmtId="166" fontId="21" fillId="13" borderId="20" xfId="0" applyNumberFormat="1" applyFont="1" applyFill="1" applyBorder="1" applyAlignment="1">
      <alignment vertical="center"/>
    </xf>
    <xf numFmtId="38" fontId="4" fillId="6" borderId="2" xfId="0" applyNumberFormat="1" applyFont="1" applyFill="1" applyBorder="1" applyAlignment="1">
      <alignment horizontal="center"/>
    </xf>
    <xf numFmtId="0" fontId="12" fillId="4" borderId="21" xfId="0" applyFont="1" applyFill="1" applyBorder="1" applyAlignment="1">
      <alignment horizontal="left"/>
    </xf>
    <xf numFmtId="0" fontId="0" fillId="4" borderId="0" xfId="0" applyFill="1" applyAlignment="1">
      <alignment horizontal="left"/>
    </xf>
    <xf numFmtId="0" fontId="12" fillId="4" borderId="0" xfId="0" applyFont="1" applyFill="1" applyAlignment="1">
      <alignment horizontal="left"/>
    </xf>
    <xf numFmtId="0" fontId="0" fillId="4" borderId="14" xfId="0" applyFill="1" applyBorder="1"/>
    <xf numFmtId="0" fontId="12" fillId="8" borderId="21" xfId="0" applyFont="1" applyFill="1" applyBorder="1" applyAlignment="1">
      <alignment horizontal="left"/>
    </xf>
    <xf numFmtId="0" fontId="0" fillId="8" borderId="0" xfId="0" applyFill="1" applyAlignment="1">
      <alignment horizontal="left"/>
    </xf>
    <xf numFmtId="0" fontId="12" fillId="8" borderId="0" xfId="0" applyFont="1" applyFill="1" applyAlignment="1">
      <alignment horizontal="left"/>
    </xf>
    <xf numFmtId="0" fontId="0" fillId="8" borderId="14" xfId="0" applyFill="1" applyBorder="1"/>
    <xf numFmtId="0" fontId="12" fillId="12" borderId="17" xfId="0" applyFont="1" applyFill="1" applyBorder="1" applyAlignment="1">
      <alignment horizontal="left"/>
    </xf>
    <xf numFmtId="0" fontId="0" fillId="12" borderId="1" xfId="0" applyFill="1" applyBorder="1" applyAlignment="1">
      <alignment horizontal="left"/>
    </xf>
    <xf numFmtId="0" fontId="12" fillId="12" borderId="1" xfId="0" applyFont="1" applyFill="1" applyBorder="1" applyAlignment="1">
      <alignment horizontal="left"/>
    </xf>
    <xf numFmtId="0" fontId="0" fillId="12" borderId="9" xfId="0" applyFill="1" applyBorder="1"/>
    <xf numFmtId="165" fontId="20" fillId="0" borderId="2" xfId="6" applyNumberFormat="1" applyFont="1" applyBorder="1"/>
    <xf numFmtId="0" fontId="0" fillId="4" borderId="2" xfId="0" applyFill="1" applyBorder="1" applyAlignment="1">
      <alignment horizontal="center"/>
    </xf>
    <xf numFmtId="3" fontId="20" fillId="8" borderId="2" xfId="5" applyNumberFormat="1" applyFont="1" applyFill="1" applyBorder="1" applyAlignment="1">
      <alignment horizontal="center"/>
    </xf>
    <xf numFmtId="3" fontId="4" fillId="6" borderId="2" xfId="0" applyNumberFormat="1" applyFont="1" applyFill="1" applyBorder="1" applyAlignment="1">
      <alignment horizontal="center"/>
    </xf>
    <xf numFmtId="0" fontId="0" fillId="0" borderId="2" xfId="0" applyBorder="1" applyAlignment="1">
      <alignment horizontal="center"/>
    </xf>
    <xf numFmtId="38" fontId="0" fillId="12" borderId="2" xfId="0" applyNumberFormat="1" applyFill="1" applyBorder="1" applyAlignment="1">
      <alignment horizontal="center"/>
    </xf>
    <xf numFmtId="0" fontId="0" fillId="7" borderId="10" xfId="0" applyFill="1" applyBorder="1"/>
    <xf numFmtId="0" fontId="15" fillId="7" borderId="12" xfId="0" applyFont="1" applyFill="1" applyBorder="1" applyAlignment="1">
      <alignment horizontal="center"/>
    </xf>
    <xf numFmtId="0" fontId="15" fillId="7" borderId="16" xfId="0" applyFont="1" applyFill="1" applyBorder="1" applyAlignment="1">
      <alignment horizontal="centerContinuous"/>
    </xf>
    <xf numFmtId="0" fontId="15" fillId="7" borderId="16" xfId="0" applyFont="1" applyFill="1" applyBorder="1" applyAlignment="1">
      <alignment horizontal="centerContinuous" vertical="center"/>
    </xf>
    <xf numFmtId="0" fontId="0" fillId="7" borderId="10" xfId="0" applyFill="1" applyBorder="1" applyAlignment="1">
      <alignment horizontal="centerContinuous"/>
    </xf>
    <xf numFmtId="0" fontId="15" fillId="7" borderId="16" xfId="0" applyFont="1" applyFill="1" applyBorder="1" applyAlignment="1">
      <alignment horizontal="center"/>
    </xf>
    <xf numFmtId="0" fontId="22" fillId="0" borderId="0" xfId="0" applyFont="1"/>
    <xf numFmtId="0" fontId="7" fillId="5" borderId="0" xfId="7"/>
    <xf numFmtId="0" fontId="7" fillId="5" borderId="0" xfId="7" applyAlignment="1">
      <alignment horizontal="right"/>
    </xf>
    <xf numFmtId="164" fontId="7" fillId="5" borderId="0" xfId="7" applyNumberFormat="1"/>
    <xf numFmtId="164" fontId="0" fillId="0" borderId="23" xfId="0" applyNumberFormat="1" applyBorder="1"/>
    <xf numFmtId="0" fontId="23" fillId="14" borderId="1" xfId="0" applyFont="1" applyFill="1" applyBorder="1" applyAlignment="1">
      <alignment horizontal="left"/>
    </xf>
    <xf numFmtId="0" fontId="23" fillId="14" borderId="22" xfId="0" applyFont="1" applyFill="1" applyBorder="1" applyAlignment="1">
      <alignment horizontal="left"/>
    </xf>
    <xf numFmtId="0" fontId="0" fillId="0" borderId="19" xfId="0" applyBorder="1"/>
    <xf numFmtId="0" fontId="24" fillId="15" borderId="0" xfId="0" applyFont="1" applyFill="1" applyAlignment="1">
      <alignment horizontal="left"/>
    </xf>
    <xf numFmtId="0" fontId="25" fillId="15" borderId="19" xfId="0" applyFont="1" applyFill="1" applyBorder="1" applyAlignment="1">
      <alignment horizontal="left"/>
    </xf>
    <xf numFmtId="0" fontId="24" fillId="15" borderId="23" xfId="0" applyFont="1" applyFill="1" applyBorder="1" applyAlignment="1">
      <alignment horizontal="left"/>
    </xf>
    <xf numFmtId="0" fontId="26" fillId="14" borderId="22" xfId="0" applyFont="1" applyFill="1" applyBorder="1" applyAlignment="1">
      <alignment horizontal="right"/>
    </xf>
    <xf numFmtId="0" fontId="26" fillId="14" borderId="1" xfId="0" applyFont="1" applyFill="1" applyBorder="1" applyAlignment="1">
      <alignment horizontal="right"/>
    </xf>
    <xf numFmtId="0" fontId="0" fillId="16" borderId="0" xfId="0" applyFill="1"/>
    <xf numFmtId="0" fontId="27" fillId="0" borderId="0" xfId="0" applyFont="1" applyAlignment="1">
      <alignment vertical="top" wrapText="1"/>
    </xf>
    <xf numFmtId="0" fontId="24" fillId="17" borderId="0" xfId="0" applyFont="1" applyFill="1" applyAlignment="1">
      <alignment horizontal="left"/>
    </xf>
    <xf numFmtId="0" fontId="0" fillId="7" borderId="0" xfId="0" applyFill="1" applyAlignment="1">
      <alignment horizontal="right"/>
    </xf>
    <xf numFmtId="0" fontId="12" fillId="0" borderId="0" xfId="0" applyFont="1" applyAlignment="1">
      <alignment horizontal="center" wrapText="1"/>
    </xf>
    <xf numFmtId="0" fontId="10" fillId="7" borderId="0" xfId="0" applyFont="1" applyFill="1" applyAlignment="1">
      <alignment horizontal="left"/>
    </xf>
    <xf numFmtId="0" fontId="15" fillId="6" borderId="2" xfId="0" applyFont="1" applyFill="1" applyBorder="1" applyAlignment="1">
      <alignment horizontal="center"/>
    </xf>
    <xf numFmtId="0" fontId="17" fillId="8" borderId="3" xfId="0" applyFont="1" applyFill="1" applyBorder="1" applyAlignment="1">
      <alignment horizontal="center"/>
    </xf>
    <xf numFmtId="0" fontId="17" fillId="8" borderId="4" xfId="0" applyFont="1" applyFill="1" applyBorder="1" applyAlignment="1">
      <alignment horizontal="center"/>
    </xf>
    <xf numFmtId="0" fontId="17" fillId="8" borderId="5" xfId="0" applyFont="1" applyFill="1" applyBorder="1" applyAlignment="1">
      <alignment horizontal="center"/>
    </xf>
    <xf numFmtId="0" fontId="17" fillId="7" borderId="18" xfId="0" applyFont="1" applyFill="1" applyBorder="1" applyAlignment="1">
      <alignment horizontal="center" vertical="center"/>
    </xf>
    <xf numFmtId="0" fontId="17" fillId="7" borderId="19" xfId="0" applyFont="1" applyFill="1" applyBorder="1" applyAlignment="1">
      <alignment horizontal="center" vertical="center"/>
    </xf>
    <xf numFmtId="0" fontId="17" fillId="7" borderId="20" xfId="0" applyFont="1" applyFill="1" applyBorder="1" applyAlignment="1">
      <alignment horizontal="center" vertical="center"/>
    </xf>
    <xf numFmtId="0" fontId="9" fillId="7" borderId="18" xfId="0" applyFont="1" applyFill="1" applyBorder="1" applyAlignment="1">
      <alignment horizontal="center"/>
    </xf>
    <xf numFmtId="0" fontId="9" fillId="7" borderId="19" xfId="0" applyFont="1" applyFill="1" applyBorder="1" applyAlignment="1">
      <alignment horizontal="center"/>
    </xf>
    <xf numFmtId="0" fontId="9" fillId="7" borderId="20" xfId="0" applyFont="1" applyFill="1" applyBorder="1" applyAlignment="1">
      <alignment horizontal="center"/>
    </xf>
    <xf numFmtId="0" fontId="6" fillId="7" borderId="18" xfId="0" applyFont="1" applyFill="1" applyBorder="1" applyAlignment="1">
      <alignment horizontal="center"/>
    </xf>
    <xf numFmtId="0" fontId="6" fillId="7" borderId="19" xfId="0" applyFont="1" applyFill="1" applyBorder="1" applyAlignment="1">
      <alignment horizontal="center"/>
    </xf>
    <xf numFmtId="0" fontId="6" fillId="7" borderId="20" xfId="0" applyFont="1" applyFill="1" applyBorder="1" applyAlignment="1">
      <alignment horizontal="center"/>
    </xf>
    <xf numFmtId="0" fontId="0" fillId="0" borderId="18" xfId="0" applyBorder="1" applyAlignment="1">
      <alignment horizontal="center"/>
    </xf>
    <xf numFmtId="0" fontId="0" fillId="0" borderId="20" xfId="0" applyBorder="1" applyAlignment="1">
      <alignment horizontal="center"/>
    </xf>
  </cellXfs>
  <cellStyles count="8">
    <cellStyle name="Accent1" xfId="7" builtinId="29"/>
    <cellStyle name="Milliers" xfId="4" builtinId="3"/>
    <cellStyle name="Milliers [0]" xfId="5" builtinId="6"/>
    <cellStyle name="Monétaire" xfId="1" builtinId="4"/>
    <cellStyle name="Monétaire [0]" xfId="6" builtinId="7"/>
    <cellStyle name="Neutre" xfId="3" builtinId="28"/>
    <cellStyle name="Normal" xfId="0" builtinId="0"/>
    <cellStyle name="Satisfaisant" xfId="2" builtinId="26"/>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390525</xdr:colOff>
      <xdr:row>8</xdr:row>
      <xdr:rowOff>161925</xdr:rowOff>
    </xdr:to>
    <xdr:sp macro="" textlink="">
      <xdr:nvSpPr>
        <xdr:cNvPr id="2" name="ZoneTexte 1">
          <a:extLst>
            <a:ext uri="{FF2B5EF4-FFF2-40B4-BE49-F238E27FC236}">
              <a16:creationId xmlns:a16="http://schemas.microsoft.com/office/drawing/2014/main" id="{CA314733-EFCD-419E-91FB-40D800EA6208}"/>
            </a:ext>
          </a:extLst>
        </xdr:cNvPr>
        <xdr:cNvSpPr txBox="1"/>
      </xdr:nvSpPr>
      <xdr:spPr>
        <a:xfrm>
          <a:off x="0" y="723900"/>
          <a:ext cx="8010525" cy="149542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Gestionnaire de scénarios</a:t>
          </a:r>
          <a:br>
            <a:rPr lang="en-US" sz="1200">
              <a:effectLst/>
            </a:rPr>
          </a:br>
          <a:br>
            <a:rPr lang="en-US" sz="1200">
              <a:effectLst/>
            </a:rPr>
          </a:br>
          <a:r>
            <a:rPr lang="en-US" sz="1400" b="0" i="0">
              <a:solidFill>
                <a:schemeClr val="dk1"/>
              </a:solidFill>
              <a:effectLst/>
              <a:latin typeface="+mn-lt"/>
              <a:ea typeface="+mn-ea"/>
              <a:cs typeface="+mn-cs"/>
            </a:rPr>
            <a:t>Le </a:t>
          </a:r>
          <a:r>
            <a:rPr lang="en-US" sz="1400" b="1" i="0">
              <a:solidFill>
                <a:schemeClr val="dk1"/>
              </a:solidFill>
              <a:effectLst/>
              <a:latin typeface="+mn-lt"/>
              <a:ea typeface="+mn-ea"/>
              <a:cs typeface="+mn-cs"/>
            </a:rPr>
            <a:t>Gestionnaire de scénarios</a:t>
          </a:r>
          <a:r>
            <a:rPr lang="en-US" sz="1400" b="0" i="0">
              <a:solidFill>
                <a:schemeClr val="dk1"/>
              </a:solidFill>
              <a:effectLst/>
              <a:latin typeface="+mn-lt"/>
              <a:ea typeface="+mn-ea"/>
              <a:cs typeface="+mn-cs"/>
            </a:rPr>
            <a:t> permet de créer et de comparer plusieurs </a:t>
          </a:r>
          <a:r>
            <a:rPr lang="en-US" sz="1400" b="1" i="0">
              <a:solidFill>
                <a:schemeClr val="dk1"/>
              </a:solidFill>
              <a:effectLst/>
              <a:latin typeface="+mn-lt"/>
              <a:ea typeface="+mn-ea"/>
              <a:cs typeface="+mn-cs"/>
            </a:rPr>
            <a:t>jeux de valeurs d’entrée</a:t>
          </a:r>
          <a:r>
            <a:rPr lang="en-US" sz="1400" b="0" i="0">
              <a:solidFill>
                <a:schemeClr val="dk1"/>
              </a:solidFill>
              <a:effectLst/>
              <a:latin typeface="+mn-lt"/>
              <a:ea typeface="+mn-ea"/>
              <a:cs typeface="+mn-cs"/>
            </a:rPr>
            <a:t> afin d’évaluer leur impact sur un ou plusieurs résultats calculés.</a:t>
          </a:r>
        </a:p>
        <a:p>
          <a:endParaRPr lang="en-US" sz="1200"/>
        </a:p>
        <a:p>
          <a:r>
            <a:rPr lang="en-US" sz="1400"/>
            <a:t>Exercice:</a:t>
          </a:r>
          <a:r>
            <a:rPr lang="en-US" sz="1400" baseline="0"/>
            <a:t> Comparez les coûts d'un projet selon les projections de 3 personnes différentes.</a:t>
          </a:r>
          <a:endParaRPr lang="en-US" sz="1400"/>
        </a:p>
      </xdr:txBody>
    </xdr:sp>
    <xdr:clientData/>
  </xdr:twoCellAnchor>
  <xdr:twoCellAnchor editAs="oneCell">
    <xdr:from>
      <xdr:col>17</xdr:col>
      <xdr:colOff>133350</xdr:colOff>
      <xdr:row>46</xdr:row>
      <xdr:rowOff>47625</xdr:rowOff>
    </xdr:from>
    <xdr:to>
      <xdr:col>20</xdr:col>
      <xdr:colOff>600459</xdr:colOff>
      <xdr:row>55</xdr:row>
      <xdr:rowOff>233</xdr:rowOff>
    </xdr:to>
    <xdr:pic>
      <xdr:nvPicPr>
        <xdr:cNvPr id="4" name="Image 3">
          <a:extLst>
            <a:ext uri="{FF2B5EF4-FFF2-40B4-BE49-F238E27FC236}">
              <a16:creationId xmlns:a16="http://schemas.microsoft.com/office/drawing/2014/main" id="{64D3EC98-4EB7-5E89-1B94-F80CEB651AAB}"/>
            </a:ext>
          </a:extLst>
        </xdr:cNvPr>
        <xdr:cNvPicPr>
          <a:picLocks noChangeAspect="1"/>
        </xdr:cNvPicPr>
      </xdr:nvPicPr>
      <xdr:blipFill>
        <a:blip xmlns:r="http://schemas.openxmlformats.org/officeDocument/2006/relationships" r:embed="rId1"/>
        <a:stretch>
          <a:fillRect/>
        </a:stretch>
      </xdr:blipFill>
      <xdr:spPr>
        <a:xfrm>
          <a:off x="13906500" y="9582150"/>
          <a:ext cx="2753109" cy="166710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695325</xdr:colOff>
      <xdr:row>37</xdr:row>
      <xdr:rowOff>38100</xdr:rowOff>
    </xdr:from>
    <xdr:to>
      <xdr:col>16</xdr:col>
      <xdr:colOff>314804</xdr:colOff>
      <xdr:row>55</xdr:row>
      <xdr:rowOff>10000</xdr:rowOff>
    </xdr:to>
    <xdr:pic>
      <xdr:nvPicPr>
        <xdr:cNvPr id="5" name="Image 4">
          <a:extLst>
            <a:ext uri="{FF2B5EF4-FFF2-40B4-BE49-F238E27FC236}">
              <a16:creationId xmlns:a16="http://schemas.microsoft.com/office/drawing/2014/main" id="{EDC0A5EF-E297-D95A-ADA4-690853CD2E19}"/>
            </a:ext>
          </a:extLst>
        </xdr:cNvPr>
        <xdr:cNvPicPr>
          <a:picLocks noChangeAspect="1"/>
        </xdr:cNvPicPr>
      </xdr:nvPicPr>
      <xdr:blipFill>
        <a:blip xmlns:r="http://schemas.openxmlformats.org/officeDocument/2006/relationships" r:embed="rId2"/>
        <a:stretch>
          <a:fillRect/>
        </a:stretch>
      </xdr:blipFill>
      <xdr:spPr>
        <a:xfrm>
          <a:off x="9896475" y="7858125"/>
          <a:ext cx="3429479" cy="34009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209550</xdr:colOff>
      <xdr:row>20</xdr:row>
      <xdr:rowOff>9525</xdr:rowOff>
    </xdr:from>
    <xdr:to>
      <xdr:col>13</xdr:col>
      <xdr:colOff>581821</xdr:colOff>
      <xdr:row>36</xdr:row>
      <xdr:rowOff>424</xdr:rowOff>
    </xdr:to>
    <xdr:pic>
      <xdr:nvPicPr>
        <xdr:cNvPr id="6" name="Image 5">
          <a:extLst>
            <a:ext uri="{FF2B5EF4-FFF2-40B4-BE49-F238E27FC236}">
              <a16:creationId xmlns:a16="http://schemas.microsoft.com/office/drawing/2014/main" id="{25F4693C-1EAE-2DD3-41AF-7D2D92E221FF}"/>
            </a:ext>
          </a:extLst>
        </xdr:cNvPr>
        <xdr:cNvPicPr>
          <a:picLocks noChangeAspect="1"/>
        </xdr:cNvPicPr>
      </xdr:nvPicPr>
      <xdr:blipFill>
        <a:blip xmlns:r="http://schemas.openxmlformats.org/officeDocument/2006/relationships" r:embed="rId3"/>
        <a:stretch>
          <a:fillRect/>
        </a:stretch>
      </xdr:blipFill>
      <xdr:spPr>
        <a:xfrm>
          <a:off x="5600700" y="4591050"/>
          <a:ext cx="5706271" cy="3038899"/>
        </a:xfrm>
        <a:prstGeom prst="rect">
          <a:avLst/>
        </a:prstGeom>
      </xdr:spPr>
    </xdr:pic>
    <xdr:clientData/>
  </xdr:twoCellAnchor>
  <xdr:twoCellAnchor>
    <xdr:from>
      <xdr:col>0</xdr:col>
      <xdr:colOff>1</xdr:colOff>
      <xdr:row>20</xdr:row>
      <xdr:rowOff>0</xdr:rowOff>
    </xdr:from>
    <xdr:to>
      <xdr:col>6</xdr:col>
      <xdr:colOff>38101</xdr:colOff>
      <xdr:row>49</xdr:row>
      <xdr:rowOff>95250</xdr:rowOff>
    </xdr:to>
    <xdr:sp macro="" textlink="">
      <xdr:nvSpPr>
        <xdr:cNvPr id="7" name="ZoneTexte 6">
          <a:extLst>
            <a:ext uri="{FF2B5EF4-FFF2-40B4-BE49-F238E27FC236}">
              <a16:creationId xmlns:a16="http://schemas.microsoft.com/office/drawing/2014/main" id="{0B8756D0-501C-45B3-BCA9-BA6E41995A88}"/>
            </a:ext>
          </a:extLst>
        </xdr:cNvPr>
        <xdr:cNvSpPr txBox="1"/>
      </xdr:nvSpPr>
      <xdr:spPr>
        <a:xfrm>
          <a:off x="1" y="4581525"/>
          <a:ext cx="5429250"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a:t>
          </a:r>
          <a:r>
            <a:rPr lang="en-US" sz="1400" b="0" i="1" u="none" strike="noStrike" baseline="0">
              <a:solidFill>
                <a:schemeClr val="dk1"/>
              </a:solidFill>
              <a:effectLst/>
              <a:latin typeface="+mn-lt"/>
              <a:ea typeface="+mn-ea"/>
              <a:cs typeface="+mn-cs"/>
            </a:rPr>
            <a:t> de scénarios &gt; Gestionnaire de scénarios</a:t>
          </a:r>
          <a:br>
            <a:rPr lang="en-US" sz="1400" b="0" i="1" u="none" strike="noStrike" baseline="0">
              <a:solidFill>
                <a:schemeClr val="dk1"/>
              </a:solidFill>
              <a:effectLst/>
              <a:latin typeface="+mn-lt"/>
              <a:ea typeface="+mn-ea"/>
              <a:cs typeface="+mn-cs"/>
            </a:rPr>
          </a:br>
          <a:br>
            <a:rPr lang="en-US" sz="1400" b="0" i="1" u="none" strike="noStrike" baseline="0">
              <a:solidFill>
                <a:schemeClr val="dk1"/>
              </a:solidFill>
              <a:effectLst/>
              <a:latin typeface="+mn-lt"/>
              <a:ea typeface="+mn-ea"/>
              <a:cs typeface="+mn-cs"/>
            </a:rPr>
          </a:br>
          <a:r>
            <a:rPr lang="en-US" sz="1400" b="0" i="0" u="none" strike="noStrike" baseline="0">
              <a:solidFill>
                <a:schemeClr val="dk1"/>
              </a:solidFill>
              <a:effectLst/>
              <a:latin typeface="+mn-lt"/>
              <a:ea typeface="+mn-ea"/>
              <a:cs typeface="+mn-cs"/>
            </a:rPr>
            <a:t>Insérez un nouveau scénario et lui donnant un nom clair et en saisissant les adresse des cellules variables (ici la colonne [nb jours]) dans la fenêtre 'Modifier un scénario'. Cliquez sur 'OK'.</a:t>
          </a:r>
          <a:br>
            <a:rPr lang="en-US" sz="1200">
              <a:effectLst/>
            </a:rPr>
          </a:br>
          <a:r>
            <a:rPr lang="en-US" sz="1400">
              <a:effectLst/>
            </a:rPr>
            <a:t>Dans la</a:t>
          </a:r>
          <a:r>
            <a:rPr lang="en-US" sz="1400" baseline="0">
              <a:effectLst/>
            </a:rPr>
            <a:t> nouvelle fenêtre 'Valeurs de scénarios', rentrez les valeurs des cellules modifiables selon le scénario en cours.</a:t>
          </a:r>
          <a:endParaRPr lang="en-US" sz="12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Ajoutez autant d'autres scénarios que nécessaire.</a:t>
          </a:r>
          <a:br>
            <a:rPr lang="en-US" sz="1400" b="0" i="0" baseline="0">
              <a:solidFill>
                <a:schemeClr val="dk1"/>
              </a:solidFill>
              <a:effectLst/>
              <a:latin typeface="+mn-lt"/>
              <a:ea typeface="+mn-ea"/>
              <a:cs typeface="+mn-cs"/>
            </a:rPr>
          </a:b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Après avoir introduit les divers scénarios, dans la fenêtre 'Gestionnaire de scénarios', cliquez sur 'Synthèse' puis dans la nouvelle fenêtre 'Synthèse de scénarios', saisissez la valeur de la cellule contenant la formule à comparer dans 'Cellules résultantes' (ici D18).</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400"/>
            <a:t>Le gestionnaire</a:t>
          </a:r>
          <a:r>
            <a:rPr lang="en-US" sz="1400" baseline="0"/>
            <a:t> créé alors une nouvelle feuille présentant les résultats des divers scénarios proposés.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Renommez les en-têtes de ligne si souhaité.</a:t>
          </a:r>
          <a:endParaRPr lang="en-US" sz="1400"/>
        </a:p>
      </xdr:txBody>
    </xdr:sp>
    <xdr:clientData/>
  </xdr:twoCellAnchor>
  <xdr:twoCellAnchor editAs="oneCell">
    <xdr:from>
      <xdr:col>7</xdr:col>
      <xdr:colOff>66675</xdr:colOff>
      <xdr:row>35</xdr:row>
      <xdr:rowOff>76200</xdr:rowOff>
    </xdr:from>
    <xdr:to>
      <xdr:col>10</xdr:col>
      <xdr:colOff>667153</xdr:colOff>
      <xdr:row>44</xdr:row>
      <xdr:rowOff>95492</xdr:rowOff>
    </xdr:to>
    <xdr:pic>
      <xdr:nvPicPr>
        <xdr:cNvPr id="3" name="Image 2">
          <a:extLst>
            <a:ext uri="{FF2B5EF4-FFF2-40B4-BE49-F238E27FC236}">
              <a16:creationId xmlns:a16="http://schemas.microsoft.com/office/drawing/2014/main" id="{73A558CF-FB37-A0CA-47F6-33624B464CBE}"/>
            </a:ext>
          </a:extLst>
        </xdr:cNvPr>
        <xdr:cNvPicPr>
          <a:picLocks noChangeAspect="1"/>
        </xdr:cNvPicPr>
      </xdr:nvPicPr>
      <xdr:blipFill>
        <a:blip xmlns:r="http://schemas.openxmlformats.org/officeDocument/2006/relationships" r:embed="rId4"/>
        <a:stretch>
          <a:fillRect/>
        </a:stretch>
      </xdr:blipFill>
      <xdr:spPr>
        <a:xfrm>
          <a:off x="6219825" y="7515225"/>
          <a:ext cx="2886478" cy="173379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9</xdr:col>
      <xdr:colOff>381000</xdr:colOff>
      <xdr:row>35</xdr:row>
      <xdr:rowOff>0</xdr:rowOff>
    </xdr:from>
    <xdr:to>
      <xdr:col>11</xdr:col>
      <xdr:colOff>590550</xdr:colOff>
      <xdr:row>36</xdr:row>
      <xdr:rowOff>0</xdr:rowOff>
    </xdr:to>
    <xdr:cxnSp macro="">
      <xdr:nvCxnSpPr>
        <xdr:cNvPr id="9" name="Connecteur droit avec flèche 8">
          <a:extLst>
            <a:ext uri="{FF2B5EF4-FFF2-40B4-BE49-F238E27FC236}">
              <a16:creationId xmlns:a16="http://schemas.microsoft.com/office/drawing/2014/main" id="{D0790626-727D-DEB7-4616-2104A6BC4D63}"/>
            </a:ext>
          </a:extLst>
        </xdr:cNvPr>
        <xdr:cNvCxnSpPr/>
      </xdr:nvCxnSpPr>
      <xdr:spPr>
        <a:xfrm flipH="1">
          <a:off x="8058150" y="7439025"/>
          <a:ext cx="173355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457200</xdr:colOff>
      <xdr:row>46</xdr:row>
      <xdr:rowOff>104775</xdr:rowOff>
    </xdr:from>
    <xdr:to>
      <xdr:col>17</xdr:col>
      <xdr:colOff>114300</xdr:colOff>
      <xdr:row>46</xdr:row>
      <xdr:rowOff>142875</xdr:rowOff>
    </xdr:to>
    <xdr:cxnSp macro="">
      <xdr:nvCxnSpPr>
        <xdr:cNvPr id="11" name="Connecteur droit avec flèche 10">
          <a:extLst>
            <a:ext uri="{FF2B5EF4-FFF2-40B4-BE49-F238E27FC236}">
              <a16:creationId xmlns:a16="http://schemas.microsoft.com/office/drawing/2014/main" id="{2CD52262-1F66-49D5-8E62-6B3C88F4245E}"/>
            </a:ext>
          </a:extLst>
        </xdr:cNvPr>
        <xdr:cNvCxnSpPr/>
      </xdr:nvCxnSpPr>
      <xdr:spPr>
        <a:xfrm>
          <a:off x="12706350" y="9639300"/>
          <a:ext cx="1181100"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542925</xdr:colOff>
      <xdr:row>19</xdr:row>
      <xdr:rowOff>171450</xdr:rowOff>
    </xdr:from>
    <xdr:to>
      <xdr:col>2</xdr:col>
      <xdr:colOff>447967</xdr:colOff>
      <xdr:row>26</xdr:row>
      <xdr:rowOff>181162</xdr:rowOff>
    </xdr:to>
    <xdr:pic>
      <xdr:nvPicPr>
        <xdr:cNvPr id="2" name="Image 1">
          <a:extLst>
            <a:ext uri="{FF2B5EF4-FFF2-40B4-BE49-F238E27FC236}">
              <a16:creationId xmlns:a16="http://schemas.microsoft.com/office/drawing/2014/main" id="{8B36DBCE-F109-6F85-6E43-052FD8727D45}"/>
            </a:ext>
          </a:extLst>
        </xdr:cNvPr>
        <xdr:cNvPicPr>
          <a:picLocks noChangeAspect="1"/>
        </xdr:cNvPicPr>
      </xdr:nvPicPr>
      <xdr:blipFill>
        <a:blip xmlns:r="http://schemas.openxmlformats.org/officeDocument/2006/relationships" r:embed="rId1"/>
        <a:stretch>
          <a:fillRect/>
        </a:stretch>
      </xdr:blipFill>
      <xdr:spPr>
        <a:xfrm>
          <a:off x="542925" y="4705350"/>
          <a:ext cx="2095792" cy="134321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142875</xdr:colOff>
      <xdr:row>1</xdr:row>
      <xdr:rowOff>85725</xdr:rowOff>
    </xdr:from>
    <xdr:to>
      <xdr:col>12</xdr:col>
      <xdr:colOff>247650</xdr:colOff>
      <xdr:row>6</xdr:row>
      <xdr:rowOff>0</xdr:rowOff>
    </xdr:to>
    <xdr:sp macro="" textlink="">
      <xdr:nvSpPr>
        <xdr:cNvPr id="3" name="ZoneTexte 2">
          <a:extLst>
            <a:ext uri="{FF2B5EF4-FFF2-40B4-BE49-F238E27FC236}">
              <a16:creationId xmlns:a16="http://schemas.microsoft.com/office/drawing/2014/main" id="{99168EF5-1834-09A5-8234-32CDA72A23C4}"/>
            </a:ext>
          </a:extLst>
        </xdr:cNvPr>
        <xdr:cNvSpPr txBox="1"/>
      </xdr:nvSpPr>
      <xdr:spPr>
        <a:xfrm>
          <a:off x="142875" y="809625"/>
          <a:ext cx="8391525" cy="86677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Valeur cible</a:t>
          </a:r>
          <a:r>
            <a:rPr lang="en-US" sz="1400" i="1">
              <a:effectLst/>
            </a:rPr>
            <a:t> </a:t>
          </a:r>
          <a:br>
            <a:rPr lang="en-US" sz="1200">
              <a:effectLst/>
            </a:rPr>
          </a:br>
          <a:br>
            <a:rPr lang="en-US" sz="1200">
              <a:effectLst/>
            </a:rPr>
          </a:br>
          <a:r>
            <a:rPr lang="en-US" sz="1400" b="0" i="0">
              <a:solidFill>
                <a:schemeClr val="dk1"/>
              </a:solidFill>
              <a:effectLst/>
              <a:latin typeface="+mn-lt"/>
              <a:ea typeface="+mn-ea"/>
              <a:cs typeface="+mn-cs"/>
            </a:rPr>
            <a:t>La fonctionnalité </a:t>
          </a:r>
          <a:r>
            <a:rPr lang="en-US" sz="1400" b="1" i="0">
              <a:solidFill>
                <a:schemeClr val="dk1"/>
              </a:solidFill>
              <a:effectLst/>
              <a:latin typeface="+mn-lt"/>
              <a:ea typeface="+mn-ea"/>
              <a:cs typeface="+mn-cs"/>
            </a:rPr>
            <a:t>Valeur cible</a:t>
          </a:r>
          <a:r>
            <a:rPr lang="en-US" sz="1400" b="0" i="0">
              <a:solidFill>
                <a:schemeClr val="dk1"/>
              </a:solidFill>
              <a:effectLst/>
              <a:latin typeface="+mn-lt"/>
              <a:ea typeface="+mn-ea"/>
              <a:cs typeface="+mn-cs"/>
            </a:rPr>
            <a:t> permet de déterminer </a:t>
          </a:r>
          <a:r>
            <a:rPr lang="en-US" sz="1400" b="1" i="0">
              <a:solidFill>
                <a:schemeClr val="dk1"/>
              </a:solidFill>
              <a:effectLst/>
              <a:latin typeface="+mn-lt"/>
              <a:ea typeface="+mn-ea"/>
              <a:cs typeface="+mn-cs"/>
            </a:rPr>
            <a:t>quelle valeur d’entrée</a:t>
          </a:r>
          <a:r>
            <a:rPr lang="en-US" sz="1400" b="0" i="0">
              <a:solidFill>
                <a:schemeClr val="dk1"/>
              </a:solidFill>
              <a:effectLst/>
              <a:latin typeface="+mn-lt"/>
              <a:ea typeface="+mn-ea"/>
              <a:cs typeface="+mn-cs"/>
            </a:rPr>
            <a:t> il faut obtenir dans une cellule pour atteindre </a:t>
          </a:r>
          <a:r>
            <a:rPr lang="en-US" sz="1400" b="1" i="0">
              <a:solidFill>
                <a:schemeClr val="dk1"/>
              </a:solidFill>
              <a:effectLst/>
              <a:latin typeface="+mn-lt"/>
              <a:ea typeface="+mn-ea"/>
              <a:cs typeface="+mn-cs"/>
            </a:rPr>
            <a:t>un résultat spécifique</a:t>
          </a:r>
          <a:r>
            <a:rPr lang="en-US" sz="1400" b="0" i="0">
              <a:solidFill>
                <a:schemeClr val="dk1"/>
              </a:solidFill>
              <a:effectLst/>
              <a:latin typeface="+mn-lt"/>
              <a:ea typeface="+mn-ea"/>
              <a:cs typeface="+mn-cs"/>
            </a:rPr>
            <a:t> dans une autre cellule contenant une formule.</a:t>
          </a:r>
        </a:p>
        <a:p>
          <a:endParaRPr lang="en-US" sz="1200"/>
        </a:p>
      </xdr:txBody>
    </xdr:sp>
    <xdr:clientData/>
  </xdr:twoCellAnchor>
  <xdr:twoCellAnchor>
    <xdr:from>
      <xdr:col>0</xdr:col>
      <xdr:colOff>285749</xdr:colOff>
      <xdr:row>30</xdr:row>
      <xdr:rowOff>161925</xdr:rowOff>
    </xdr:from>
    <xdr:to>
      <xdr:col>16</xdr:col>
      <xdr:colOff>9524</xdr:colOff>
      <xdr:row>35</xdr:row>
      <xdr:rowOff>19050</xdr:rowOff>
    </xdr:to>
    <xdr:sp macro="" textlink="">
      <xdr:nvSpPr>
        <xdr:cNvPr id="4" name="ZoneTexte 3">
          <a:extLst>
            <a:ext uri="{FF2B5EF4-FFF2-40B4-BE49-F238E27FC236}">
              <a16:creationId xmlns:a16="http://schemas.microsoft.com/office/drawing/2014/main" id="{32FEE238-2CDF-F89A-34D9-28F7FA1857DF}"/>
            </a:ext>
          </a:extLst>
        </xdr:cNvPr>
        <xdr:cNvSpPr txBox="1"/>
      </xdr:nvSpPr>
      <xdr:spPr>
        <a:xfrm>
          <a:off x="285749" y="7258050"/>
          <a:ext cx="10067925" cy="80962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dk1"/>
              </a:solidFill>
              <a:effectLst/>
              <a:latin typeface="+mn-lt"/>
              <a:ea typeface="+mn-ea"/>
              <a:cs typeface="+mn-cs"/>
            </a:rPr>
            <a:t>Valeur cible va itérer le</a:t>
          </a:r>
          <a:r>
            <a:rPr lang="en-US" sz="1400" b="0" i="0" baseline="0">
              <a:solidFill>
                <a:schemeClr val="dk1"/>
              </a:solidFill>
              <a:effectLst/>
              <a:latin typeface="+mn-lt"/>
              <a:ea typeface="+mn-ea"/>
              <a:cs typeface="+mn-cs"/>
            </a:rPr>
            <a:t> nombre de la cellule à modifier </a:t>
          </a:r>
          <a:r>
            <a:rPr lang="en-US" sz="1400" b="0" i="0">
              <a:solidFill>
                <a:schemeClr val="dk1"/>
              </a:solidFill>
              <a:effectLst/>
              <a:latin typeface="+mn-lt"/>
              <a:ea typeface="+mn-ea"/>
              <a:cs typeface="+mn-cs"/>
            </a:rPr>
            <a:t>jusqu’à trouver une solution à votre calcul correspondant à l’objectif désiré.</a:t>
          </a:r>
          <a:br>
            <a:rPr lang="en-US" sz="1400" b="0" i="0">
              <a:solidFill>
                <a:schemeClr val="dk1"/>
              </a:solidFill>
              <a:effectLst/>
              <a:latin typeface="+mn-lt"/>
              <a:ea typeface="+mn-ea"/>
              <a:cs typeface="+mn-cs"/>
            </a:rPr>
          </a:br>
          <a:br>
            <a:rPr lang="en-US" sz="1400" b="0" i="0">
              <a:solidFill>
                <a:schemeClr val="dk1"/>
              </a:solidFill>
              <a:effectLst/>
              <a:latin typeface="+mn-lt"/>
              <a:ea typeface="+mn-ea"/>
              <a:cs typeface="+mn-cs"/>
            </a:rPr>
          </a:br>
          <a:r>
            <a:rPr lang="en-US" sz="1400" b="0" i="0">
              <a:solidFill>
                <a:schemeClr val="dk1"/>
              </a:solidFill>
              <a:effectLst/>
              <a:latin typeface="+mn-lt"/>
              <a:ea typeface="+mn-ea"/>
              <a:cs typeface="+mn-cs"/>
            </a:rPr>
            <a:t>Si vous avez des contraintes, utilisez Solveur au lieu de Valeur cible.</a:t>
          </a:r>
          <a:endParaRPr lang="en-US" sz="1400"/>
        </a:p>
      </xdr:txBody>
    </xdr:sp>
    <xdr:clientData/>
  </xdr:twoCellAnchor>
  <xdr:twoCellAnchor editAs="oneCell">
    <xdr:from>
      <xdr:col>8</xdr:col>
      <xdr:colOff>314325</xdr:colOff>
      <xdr:row>19</xdr:row>
      <xdr:rowOff>133350</xdr:rowOff>
    </xdr:from>
    <xdr:to>
      <xdr:col>11</xdr:col>
      <xdr:colOff>571791</xdr:colOff>
      <xdr:row>27</xdr:row>
      <xdr:rowOff>9720</xdr:rowOff>
    </xdr:to>
    <xdr:pic>
      <xdr:nvPicPr>
        <xdr:cNvPr id="5" name="Image 4">
          <a:extLst>
            <a:ext uri="{FF2B5EF4-FFF2-40B4-BE49-F238E27FC236}">
              <a16:creationId xmlns:a16="http://schemas.microsoft.com/office/drawing/2014/main" id="{F51176A3-8774-1CAF-1F26-0C95FF33EB24}"/>
            </a:ext>
          </a:extLst>
        </xdr:cNvPr>
        <xdr:cNvPicPr>
          <a:picLocks noChangeAspect="1"/>
        </xdr:cNvPicPr>
      </xdr:nvPicPr>
      <xdr:blipFill>
        <a:blip xmlns:r="http://schemas.openxmlformats.org/officeDocument/2006/relationships" r:embed="rId2"/>
        <a:stretch>
          <a:fillRect/>
        </a:stretch>
      </xdr:blipFill>
      <xdr:spPr>
        <a:xfrm>
          <a:off x="5781675" y="5124450"/>
          <a:ext cx="2086266" cy="140037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733425</xdr:colOff>
      <xdr:row>5</xdr:row>
      <xdr:rowOff>95251</xdr:rowOff>
    </xdr:to>
    <xdr:sp macro="" textlink="">
      <xdr:nvSpPr>
        <xdr:cNvPr id="2" name="ZoneTexte 1">
          <a:extLst>
            <a:ext uri="{FF2B5EF4-FFF2-40B4-BE49-F238E27FC236}">
              <a16:creationId xmlns:a16="http://schemas.microsoft.com/office/drawing/2014/main" id="{64FCBC0E-5218-41C0-9224-8AD191458366}"/>
            </a:ext>
          </a:extLst>
        </xdr:cNvPr>
        <xdr:cNvSpPr txBox="1"/>
      </xdr:nvSpPr>
      <xdr:spPr>
        <a:xfrm>
          <a:off x="0" y="723901"/>
          <a:ext cx="10639425" cy="8572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Table de données</a:t>
          </a:r>
          <a:br>
            <a:rPr lang="en-US" sz="1200">
              <a:effectLst/>
            </a:rPr>
          </a:br>
          <a:br>
            <a:rPr lang="en-US" sz="1200">
              <a:effectLst/>
            </a:rPr>
          </a:br>
          <a:r>
            <a:rPr lang="en-US" sz="1400" b="0" i="0">
              <a:solidFill>
                <a:schemeClr val="dk1"/>
              </a:solidFill>
              <a:effectLst/>
              <a:latin typeface="+mn-lt"/>
              <a:ea typeface="+mn-ea"/>
              <a:cs typeface="+mn-cs"/>
            </a:rPr>
            <a:t>Une </a:t>
          </a:r>
          <a:r>
            <a:rPr lang="en-US" sz="1400" b="1" i="0">
              <a:solidFill>
                <a:schemeClr val="dk1"/>
              </a:solidFill>
              <a:effectLst/>
              <a:latin typeface="+mn-lt"/>
              <a:ea typeface="+mn-ea"/>
              <a:cs typeface="+mn-cs"/>
            </a:rPr>
            <a:t>Table de données</a:t>
          </a:r>
          <a:r>
            <a:rPr lang="en-US" sz="1400" b="0" i="0">
              <a:solidFill>
                <a:schemeClr val="dk1"/>
              </a:solidFill>
              <a:effectLst/>
              <a:latin typeface="+mn-lt"/>
              <a:ea typeface="+mn-ea"/>
              <a:cs typeface="+mn-cs"/>
            </a:rPr>
            <a:t> permet d’analyser rapidement </a:t>
          </a:r>
          <a:r>
            <a:rPr lang="en-US" sz="1400" b="1" i="0">
              <a:solidFill>
                <a:schemeClr val="dk1"/>
              </a:solidFill>
              <a:effectLst/>
              <a:latin typeface="+mn-lt"/>
              <a:ea typeface="+mn-ea"/>
              <a:cs typeface="+mn-cs"/>
            </a:rPr>
            <a:t>l’impact d’une ou deux variables</a:t>
          </a:r>
          <a:r>
            <a:rPr lang="en-US" sz="1400" b="0" i="0">
              <a:solidFill>
                <a:schemeClr val="dk1"/>
              </a:solidFill>
              <a:effectLst/>
              <a:latin typeface="+mn-lt"/>
              <a:ea typeface="+mn-ea"/>
              <a:cs typeface="+mn-cs"/>
            </a:rPr>
            <a:t> sur un résultat basé sur une formule.</a:t>
          </a:r>
        </a:p>
        <a:p>
          <a:endParaRPr lang="en-US" sz="1200"/>
        </a:p>
      </xdr:txBody>
    </xdr:sp>
    <xdr:clientData/>
  </xdr:twoCellAnchor>
  <xdr:twoCellAnchor>
    <xdr:from>
      <xdr:col>1</xdr:col>
      <xdr:colOff>19049</xdr:colOff>
      <xdr:row>24</xdr:row>
      <xdr:rowOff>142875</xdr:rowOff>
    </xdr:from>
    <xdr:to>
      <xdr:col>7</xdr:col>
      <xdr:colOff>533399</xdr:colOff>
      <xdr:row>42</xdr:row>
      <xdr:rowOff>161925</xdr:rowOff>
    </xdr:to>
    <xdr:sp macro="" textlink="">
      <xdr:nvSpPr>
        <xdr:cNvPr id="4" name="TextBox 1">
          <a:extLst>
            <a:ext uri="{FF2B5EF4-FFF2-40B4-BE49-F238E27FC236}">
              <a16:creationId xmlns:a16="http://schemas.microsoft.com/office/drawing/2014/main" id="{DA622169-6736-4C85-9328-9437A4F9D65D}"/>
            </a:ext>
          </a:extLst>
        </xdr:cNvPr>
        <xdr:cNvSpPr txBox="1"/>
      </xdr:nvSpPr>
      <xdr:spPr>
        <a:xfrm>
          <a:off x="161924" y="3048000"/>
          <a:ext cx="5695950" cy="3448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200" b="1"/>
            <a:t>Exercice 1:</a:t>
          </a:r>
        </a:p>
        <a:p>
          <a:r>
            <a:rPr lang="fr-CH" sz="1200" b="1"/>
            <a:t>Intéressé par l'achat d'une maison avec</a:t>
          </a:r>
          <a:r>
            <a:rPr lang="fr-CH" sz="1200" b="1" baseline="0"/>
            <a:t> un budget mensuel de 1100/mois</a:t>
          </a:r>
        </a:p>
        <a:p>
          <a:r>
            <a:rPr lang="fr-CH" sz="1200" b="1" baseline="0"/>
            <a:t>La banque offre un prêt sur 30 ans avec un intérêt de 3.1% après un paiement initial de 20%.</a:t>
          </a:r>
        </a:p>
        <a:p>
          <a:endParaRPr lang="fr-CH" sz="1200" b="1" baseline="0"/>
        </a:p>
        <a:p>
          <a:r>
            <a:rPr lang="fr-CH" sz="1200" b="1" baseline="0"/>
            <a:t>QUEL EST LE PRIX MAXIMUM DU BIEN QUE JE PEUX ACHETER DANS CES CONDITIONS ?</a:t>
          </a:r>
        </a:p>
        <a:p>
          <a:endParaRPr lang="fr-CH" sz="1200" b="1" baseline="0"/>
        </a:p>
        <a:p>
          <a:r>
            <a:rPr lang="fr-CH" sz="1200" b="1" i="1" baseline="0"/>
            <a:t>Données &gt; Analyse de scénarios &gt; Valeur cible</a:t>
          </a:r>
          <a:endParaRPr lang="fr-CH" sz="1200" b="1" i="1"/>
        </a:p>
      </xdr:txBody>
    </xdr:sp>
    <xdr:clientData/>
  </xdr:twoCellAnchor>
  <xdr:twoCellAnchor>
    <xdr:from>
      <xdr:col>11</xdr:col>
      <xdr:colOff>504824</xdr:colOff>
      <xdr:row>24</xdr:row>
      <xdr:rowOff>76200</xdr:rowOff>
    </xdr:from>
    <xdr:to>
      <xdr:col>17</xdr:col>
      <xdr:colOff>466724</xdr:colOff>
      <xdr:row>46</xdr:row>
      <xdr:rowOff>47625</xdr:rowOff>
    </xdr:to>
    <xdr:sp macro="" textlink="">
      <xdr:nvSpPr>
        <xdr:cNvPr id="8" name="TextBox 1">
          <a:extLst>
            <a:ext uri="{FF2B5EF4-FFF2-40B4-BE49-F238E27FC236}">
              <a16:creationId xmlns:a16="http://schemas.microsoft.com/office/drawing/2014/main" id="{56464D04-E51C-4351-8A82-C0DC06C8C120}"/>
            </a:ext>
          </a:extLst>
        </xdr:cNvPr>
        <xdr:cNvSpPr txBox="1"/>
      </xdr:nvSpPr>
      <xdr:spPr>
        <a:xfrm>
          <a:off x="9324974" y="5191125"/>
          <a:ext cx="5324475" cy="42100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200" b="1"/>
            <a:t>Exercice</a:t>
          </a:r>
          <a:r>
            <a:rPr lang="fr-CH" sz="1200" b="1" baseline="0"/>
            <a:t> 2:</a:t>
          </a:r>
          <a:endParaRPr lang="fr-CH" sz="1200" b="1"/>
        </a:p>
        <a:p>
          <a:r>
            <a:rPr lang="fr-CH" sz="1200" b="1" baseline="0"/>
            <a:t>Dresser un tableau de valeurs des mensualités et du total des intérêts payés selon le taux hypothécaire variant de 2.75 à 5%.</a:t>
          </a:r>
        </a:p>
        <a:p>
          <a:endParaRPr lang="fr-CH" sz="1200" b="1" baseline="0"/>
        </a:p>
        <a:p>
          <a:r>
            <a:rPr lang="fr-CH" sz="1200" b="1" baseline="0"/>
            <a:t>Il faut d'abord saisir les formules dans les en-têtes de colonne (ici les 4 calculs effectués en C19:C22) et les différentes valeurs variables désirées dans la première colonne (ici les taux hypo.).</a:t>
          </a:r>
        </a:p>
        <a:p>
          <a:r>
            <a:rPr lang="fr-CH" sz="1200" b="1" baseline="0"/>
            <a:t>Sélectionnez M13:Q23 puis</a:t>
          </a:r>
        </a:p>
        <a:p>
          <a:r>
            <a:rPr lang="fr-CH" sz="1200" b="1" i="1" baseline="0"/>
            <a:t>Données &gt; Analyse de scénarios &gt; table de données</a:t>
          </a:r>
        </a:p>
        <a:p>
          <a:endParaRPr lang="fr-CH" sz="1200" b="1" baseline="0"/>
        </a:p>
        <a:p>
          <a:r>
            <a:rPr lang="fr-CH" sz="1200" b="1"/>
            <a:t>Puis sélectionnez la case du</a:t>
          </a:r>
          <a:r>
            <a:rPr lang="fr-CH" sz="1200" b="1" baseline="0"/>
            <a:t> taux d'intérêt en $C$16 comme cellules d'entrée en colonne.</a:t>
          </a:r>
        </a:p>
        <a:p>
          <a:endParaRPr lang="fr-CH" sz="1200" b="1" baseline="0"/>
        </a:p>
        <a:p>
          <a:endParaRPr lang="fr-CH" sz="1200" b="1" baseline="0"/>
        </a:p>
        <a:p>
          <a:endParaRPr lang="fr-CH" sz="1200" b="1" baseline="0"/>
        </a:p>
        <a:p>
          <a:endParaRPr lang="fr-CH" sz="1200" b="1" baseline="0"/>
        </a:p>
        <a:p>
          <a:endParaRPr lang="fr-CH" sz="1200" b="1" baseline="0"/>
        </a:p>
        <a:p>
          <a:endParaRPr lang="fr-CH" sz="1200" b="1" baseline="0"/>
        </a:p>
        <a:p>
          <a:endParaRPr lang="fr-CH" sz="1200" b="1" baseline="0"/>
        </a:p>
        <a:p>
          <a:r>
            <a:rPr lang="fr-CH" sz="1200" b="1" baseline="0"/>
            <a:t>L'analyse table de données va utiliser chaque valeur de taux hypothécaire présent dans la 1ère colonne pour évaluer sur chaque ligne de la table les résultats des formules correspondantes en haut de chaque colonne.</a:t>
          </a:r>
          <a:endParaRPr lang="fr-CH" sz="1200" b="1"/>
        </a:p>
      </xdr:txBody>
    </xdr:sp>
    <xdr:clientData/>
  </xdr:twoCellAnchor>
  <xdr:twoCellAnchor editAs="oneCell">
    <xdr:from>
      <xdr:col>1</xdr:col>
      <xdr:colOff>1143000</xdr:colOff>
      <xdr:row>33</xdr:row>
      <xdr:rowOff>133350</xdr:rowOff>
    </xdr:from>
    <xdr:to>
      <xdr:col>4</xdr:col>
      <xdr:colOff>66966</xdr:colOff>
      <xdr:row>40</xdr:row>
      <xdr:rowOff>133536</xdr:rowOff>
    </xdr:to>
    <xdr:pic>
      <xdr:nvPicPr>
        <xdr:cNvPr id="10" name="Image 9">
          <a:extLst>
            <a:ext uri="{FF2B5EF4-FFF2-40B4-BE49-F238E27FC236}">
              <a16:creationId xmlns:a16="http://schemas.microsoft.com/office/drawing/2014/main" id="{4F79E114-79CB-3C76-29A3-8879106B083F}"/>
            </a:ext>
          </a:extLst>
        </xdr:cNvPr>
        <xdr:cNvPicPr>
          <a:picLocks noChangeAspect="1"/>
        </xdr:cNvPicPr>
      </xdr:nvPicPr>
      <xdr:blipFill>
        <a:blip xmlns:r="http://schemas.openxmlformats.org/officeDocument/2006/relationships" r:embed="rId1"/>
        <a:stretch>
          <a:fillRect/>
        </a:stretch>
      </xdr:blipFill>
      <xdr:spPr>
        <a:xfrm>
          <a:off x="1466850" y="6962775"/>
          <a:ext cx="2086266" cy="133368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13</xdr:col>
      <xdr:colOff>419099</xdr:colOff>
      <xdr:row>36</xdr:row>
      <xdr:rowOff>19050</xdr:rowOff>
    </xdr:from>
    <xdr:to>
      <xdr:col>16</xdr:col>
      <xdr:colOff>276580</xdr:colOff>
      <xdr:row>42</xdr:row>
      <xdr:rowOff>19210</xdr:rowOff>
    </xdr:to>
    <xdr:pic>
      <xdr:nvPicPr>
        <xdr:cNvPr id="12" name="Image 11">
          <a:extLst>
            <a:ext uri="{FF2B5EF4-FFF2-40B4-BE49-F238E27FC236}">
              <a16:creationId xmlns:a16="http://schemas.microsoft.com/office/drawing/2014/main" id="{47CE4B84-D2A9-110E-9706-27505C175FAB}"/>
            </a:ext>
          </a:extLst>
        </xdr:cNvPr>
        <xdr:cNvPicPr>
          <a:picLocks noChangeAspect="1"/>
        </xdr:cNvPicPr>
      </xdr:nvPicPr>
      <xdr:blipFill>
        <a:blip xmlns:r="http://schemas.openxmlformats.org/officeDocument/2006/relationships" r:embed="rId2"/>
        <a:stretch>
          <a:fillRect/>
        </a:stretch>
      </xdr:blipFill>
      <xdr:spPr>
        <a:xfrm>
          <a:off x="10763249" y="7419975"/>
          <a:ext cx="2553056" cy="114316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209550</xdr:colOff>
      <xdr:row>1</xdr:row>
      <xdr:rowOff>28576</xdr:rowOff>
    </xdr:from>
    <xdr:to>
      <xdr:col>17</xdr:col>
      <xdr:colOff>47625</xdr:colOff>
      <xdr:row>10</xdr:row>
      <xdr:rowOff>19050</xdr:rowOff>
    </xdr:to>
    <xdr:sp macro="" textlink="">
      <xdr:nvSpPr>
        <xdr:cNvPr id="2" name="ZoneTexte 1">
          <a:extLst>
            <a:ext uri="{FF2B5EF4-FFF2-40B4-BE49-F238E27FC236}">
              <a16:creationId xmlns:a16="http://schemas.microsoft.com/office/drawing/2014/main" id="{7F6F6663-9DB0-4F8A-8C5E-6910EC463054}"/>
            </a:ext>
          </a:extLst>
        </xdr:cNvPr>
        <xdr:cNvSpPr txBox="1"/>
      </xdr:nvSpPr>
      <xdr:spPr>
        <a:xfrm>
          <a:off x="209550" y="752476"/>
          <a:ext cx="14649450" cy="1704974"/>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Table de données</a:t>
          </a:r>
          <a:br>
            <a:rPr lang="en-US" sz="1200">
              <a:effectLst/>
            </a:rPr>
          </a:br>
          <a:br>
            <a:rPr lang="en-US" sz="1200">
              <a:effectLst/>
            </a:rPr>
          </a:b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considère le retour sur investissement d'une campagne de mailing de masse. Il faut d'abord définir la méthode de calcul du profit net (calculs C17:C23).</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L'exercice est de créer un table de données comparant profit net obtenu pour diverses valeurs du taux de réponse (de 1.5% à 3.25%) et du nombre d'emails envoyés (de 100K à 500K).</a:t>
          </a:r>
          <a:br>
            <a:rPr lang="en-US" sz="1400" b="0" i="0" baseline="0">
              <a:solidFill>
                <a:schemeClr val="dk1"/>
              </a:solidFill>
              <a:effectLst/>
              <a:latin typeface="+mn-lt"/>
              <a:ea typeface="+mn-ea"/>
              <a:cs typeface="+mn-cs"/>
            </a:rPr>
          </a:br>
          <a:br>
            <a:rPr lang="en-US" sz="1400" b="0" i="0" baseline="0">
              <a:solidFill>
                <a:schemeClr val="dk1"/>
              </a:solidFill>
              <a:effectLst/>
              <a:latin typeface="+mn-lt"/>
              <a:ea typeface="+mn-ea"/>
              <a:cs typeface="+mn-cs"/>
            </a:rPr>
          </a:br>
          <a:r>
            <a:rPr lang="en-US" sz="1400" b="0" i="0" baseline="0">
              <a:solidFill>
                <a:schemeClr val="dk1"/>
              </a:solidFill>
              <a:effectLst/>
              <a:latin typeface="+mn-lt"/>
              <a:ea typeface="+mn-ea"/>
              <a:cs typeface="+mn-cs"/>
            </a:rPr>
            <a:t>Répondez à cette question: Quel est le taux de réponse minimum pour obtenir un profit positif et quel est le nombre d'emails minimum pour atteindre cet objectif.</a:t>
          </a:r>
          <a:endParaRPr lang="en-US" sz="1200"/>
        </a:p>
      </xdr:txBody>
    </xdr:sp>
    <xdr:clientData/>
  </xdr:twoCellAnchor>
  <xdr:twoCellAnchor>
    <xdr:from>
      <xdr:col>1</xdr:col>
      <xdr:colOff>19049</xdr:colOff>
      <xdr:row>24</xdr:row>
      <xdr:rowOff>142874</xdr:rowOff>
    </xdr:from>
    <xdr:to>
      <xdr:col>8</xdr:col>
      <xdr:colOff>9525</xdr:colOff>
      <xdr:row>52</xdr:row>
      <xdr:rowOff>171450</xdr:rowOff>
    </xdr:to>
    <xdr:sp macro="" textlink="">
      <xdr:nvSpPr>
        <xdr:cNvPr id="3" name="TextBox 1">
          <a:extLst>
            <a:ext uri="{FF2B5EF4-FFF2-40B4-BE49-F238E27FC236}">
              <a16:creationId xmlns:a16="http://schemas.microsoft.com/office/drawing/2014/main" id="{49CC70DD-60E7-47AB-8A53-FFCDC59688F5}"/>
            </a:ext>
          </a:extLst>
        </xdr:cNvPr>
        <xdr:cNvSpPr txBox="1"/>
      </xdr:nvSpPr>
      <xdr:spPr>
        <a:xfrm>
          <a:off x="342899" y="5400674"/>
          <a:ext cx="6829426" cy="541020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u="none" strike="noStrike">
              <a:solidFill>
                <a:schemeClr val="dk1"/>
              </a:solidFill>
              <a:effectLst/>
              <a:latin typeface="+mn-lt"/>
              <a:ea typeface="+mn-ea"/>
              <a:cs typeface="+mn-cs"/>
            </a:rPr>
            <a:t>Pour créer la table de données</a:t>
          </a:r>
          <a:r>
            <a:rPr lang="en-US" sz="1600">
              <a:effectLst/>
            </a:rPr>
            <a:t> </a:t>
          </a:r>
          <a:br>
            <a:rPr lang="en-US" sz="1600">
              <a:effectLst/>
            </a:rPr>
          </a:br>
          <a:br>
            <a:rPr lang="en-US" sz="1600">
              <a:effectLst/>
            </a:rPr>
          </a:br>
          <a:r>
            <a:rPr lang="en-US" sz="1600">
              <a:effectLst/>
            </a:rPr>
            <a:t>1/ Saisissez</a:t>
          </a:r>
          <a:r>
            <a:rPr lang="en-US" sz="1600" baseline="0">
              <a:effectLst/>
            </a:rPr>
            <a:t> les valeurs variables dans la 1ère ligne (L26:S26) et la 1ère colonne (K27:K43) de la table.</a:t>
          </a:r>
          <a:endParaRPr lang="en-US" sz="1600">
            <a:effectLst/>
          </a:endParaRPr>
        </a:p>
        <a:p>
          <a:br>
            <a:rPr lang="en-US" sz="1600">
              <a:effectLst/>
            </a:rPr>
          </a:br>
          <a:r>
            <a:rPr lang="en-US" sz="1600">
              <a:effectLst/>
            </a:rPr>
            <a:t>2/ </a:t>
          </a:r>
          <a:r>
            <a:rPr lang="en-US" sz="1600" b="0" i="0" u="none" strike="noStrike">
              <a:solidFill>
                <a:schemeClr val="dk1"/>
              </a:solidFill>
              <a:effectLst/>
              <a:latin typeface="+mn-lt"/>
              <a:ea typeface="+mn-ea"/>
              <a:cs typeface="+mn-cs"/>
            </a:rPr>
            <a:t>Copiez la formule du profit Net ($C$23) dans la 1ère cellule en haut à gauche</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de la table ($K$26).</a:t>
          </a:r>
          <a:br>
            <a:rPr lang="en-US" sz="1600">
              <a:effectLst/>
            </a:rPr>
          </a:br>
          <a:br>
            <a:rPr lang="en-US" sz="1600">
              <a:effectLst/>
            </a:rPr>
          </a:br>
          <a:r>
            <a:rPr lang="en-US" sz="1600">
              <a:effectLst/>
            </a:rPr>
            <a:t>3/ </a:t>
          </a:r>
          <a:r>
            <a:rPr lang="en-US" sz="1600" b="0" i="0" u="none" strike="noStrike">
              <a:solidFill>
                <a:schemeClr val="dk1"/>
              </a:solidFill>
              <a:effectLst/>
              <a:latin typeface="+mn-lt"/>
              <a:ea typeface="+mn-ea"/>
              <a:cs typeface="+mn-cs"/>
            </a:rPr>
            <a:t>Sélectionnez les cellules K26:S43</a:t>
          </a:r>
          <a:r>
            <a:rPr lang="en-US" sz="1600">
              <a:effectLst/>
            </a:rPr>
            <a:t> </a:t>
          </a:r>
          <a:br>
            <a:rPr lang="en-US" sz="1600">
              <a:effectLst/>
            </a:rPr>
          </a:br>
          <a:r>
            <a:rPr lang="en-US" sz="1600" b="0" i="1" u="none" strike="noStrike">
              <a:solidFill>
                <a:schemeClr val="dk1"/>
              </a:solidFill>
              <a:effectLst/>
              <a:latin typeface="+mn-lt"/>
              <a:ea typeface="+mn-ea"/>
              <a:cs typeface="+mn-cs"/>
            </a:rPr>
            <a:t>Données &gt; Analyse scénarios &gt; Table de données</a:t>
          </a:r>
          <a:r>
            <a:rPr lang="en-US" sz="1600" i="1">
              <a:effectLst/>
            </a:rPr>
            <a:t> </a:t>
          </a:r>
          <a:br>
            <a:rPr lang="en-US" sz="1600" i="1">
              <a:effectLst/>
            </a:rPr>
          </a:br>
          <a:r>
            <a:rPr lang="en-US" sz="1600" b="0" i="0" u="none" strike="noStrike">
              <a:solidFill>
                <a:schemeClr val="dk1"/>
              </a:solidFill>
              <a:effectLst/>
              <a:latin typeface="+mn-lt"/>
              <a:ea typeface="+mn-ea"/>
              <a:cs typeface="+mn-cs"/>
            </a:rPr>
            <a:t>Entrez  le taux de réponse $C$14 dans la cellule d'entrée en ligne</a:t>
          </a:r>
          <a:r>
            <a:rPr lang="en-US" sz="1600">
              <a:effectLst/>
            </a:rPr>
            <a:t>.</a:t>
          </a:r>
          <a:br>
            <a:rPr lang="en-US" sz="1600">
              <a:effectLst/>
            </a:rPr>
          </a:br>
          <a:r>
            <a:rPr lang="en-US" sz="1600" b="0" i="0" u="none" strike="noStrike">
              <a:solidFill>
                <a:schemeClr val="dk1"/>
              </a:solidFill>
              <a:effectLst/>
              <a:latin typeface="+mn-lt"/>
              <a:ea typeface="+mn-ea"/>
              <a:cs typeface="+mn-cs"/>
            </a:rPr>
            <a:t>Entrez le nombre</a:t>
          </a:r>
          <a:r>
            <a:rPr lang="en-US" sz="1600" b="0" i="0" u="none" strike="noStrike" baseline="0">
              <a:solidFill>
                <a:schemeClr val="dk1"/>
              </a:solidFill>
              <a:effectLst/>
              <a:latin typeface="+mn-lt"/>
              <a:ea typeface="+mn-ea"/>
              <a:cs typeface="+mn-cs"/>
            </a:rPr>
            <a:t> d'emails </a:t>
          </a:r>
          <a:r>
            <a:rPr lang="en-US" sz="1600" b="0" i="0" u="none" strike="noStrike">
              <a:solidFill>
                <a:schemeClr val="dk1"/>
              </a:solidFill>
              <a:effectLst/>
              <a:latin typeface="+mn-lt"/>
              <a:ea typeface="+mn-ea"/>
              <a:cs typeface="+mn-cs"/>
            </a:rPr>
            <a:t>$C$13 dans la cellule d'entrée en colonne</a:t>
          </a:r>
          <a:endParaRPr lang="fr-CH" sz="1600" b="1" i="1" u="none" strike="noStrike">
            <a:solidFill>
              <a:schemeClr val="dk1"/>
            </a:solidFill>
            <a:effectLst/>
            <a:latin typeface="+mn-lt"/>
            <a:ea typeface="+mn-ea"/>
            <a:cs typeface="+mn-cs"/>
          </a:endParaRPr>
        </a:p>
        <a:p>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endParaRPr lang="fr-CH" sz="1600" b="1" i="1" u="none" strike="noStrike">
            <a:solidFill>
              <a:schemeClr val="dk1"/>
            </a:solidFill>
            <a:effectLst/>
            <a:latin typeface="+mn-lt"/>
            <a:ea typeface="+mn-ea"/>
            <a:cs typeface="+mn-cs"/>
          </a:endParaRPr>
        </a:p>
        <a:p>
          <a:r>
            <a:rPr lang="fr-CH" sz="1600" b="0" i="0" u="none" strike="noStrike">
              <a:solidFill>
                <a:schemeClr val="dk1"/>
              </a:solidFill>
              <a:effectLst/>
              <a:latin typeface="+mn-lt"/>
              <a:ea typeface="+mn-ea"/>
              <a:cs typeface="+mn-cs"/>
            </a:rPr>
            <a:t>4/ Appliquez</a:t>
          </a:r>
          <a:r>
            <a:rPr lang="fr-CH" sz="1600" b="0" i="0" u="none" strike="noStrike" baseline="0">
              <a:solidFill>
                <a:schemeClr val="dk1"/>
              </a:solidFill>
              <a:effectLst/>
              <a:latin typeface="+mn-lt"/>
              <a:ea typeface="+mn-ea"/>
              <a:cs typeface="+mn-cs"/>
            </a:rPr>
            <a:t> une mise en forme conditionnelle pour mettre les valeurs positives en surbrillance.</a:t>
          </a:r>
          <a:endParaRPr lang="fr-CH" sz="1600" b="0" i="0" u="none" strike="noStrike">
            <a:solidFill>
              <a:schemeClr val="dk1"/>
            </a:solidFill>
            <a:effectLst/>
            <a:latin typeface="+mn-lt"/>
            <a:ea typeface="+mn-ea"/>
            <a:cs typeface="+mn-cs"/>
          </a:endParaRPr>
        </a:p>
      </xdr:txBody>
    </xdr:sp>
    <xdr:clientData/>
  </xdr:twoCellAnchor>
  <xdr:twoCellAnchor editAs="oneCell">
    <xdr:from>
      <xdr:col>1</xdr:col>
      <xdr:colOff>1809749</xdr:colOff>
      <xdr:row>41</xdr:row>
      <xdr:rowOff>114299</xdr:rowOff>
    </xdr:from>
    <xdr:to>
      <xdr:col>4</xdr:col>
      <xdr:colOff>609961</xdr:colOff>
      <xdr:row>47</xdr:row>
      <xdr:rowOff>19202</xdr:rowOff>
    </xdr:to>
    <xdr:pic>
      <xdr:nvPicPr>
        <xdr:cNvPr id="7" name="Image 6">
          <a:extLst>
            <a:ext uri="{FF2B5EF4-FFF2-40B4-BE49-F238E27FC236}">
              <a16:creationId xmlns:a16="http://schemas.microsoft.com/office/drawing/2014/main" id="{7EE90908-A60E-4154-0FA8-1BF57564FB3B}"/>
            </a:ext>
          </a:extLst>
        </xdr:cNvPr>
        <xdr:cNvPicPr>
          <a:picLocks noChangeAspect="1"/>
        </xdr:cNvPicPr>
      </xdr:nvPicPr>
      <xdr:blipFill>
        <a:blip xmlns:r="http://schemas.openxmlformats.org/officeDocument/2006/relationships" r:embed="rId1"/>
        <a:stretch>
          <a:fillRect/>
        </a:stretch>
      </xdr:blipFill>
      <xdr:spPr>
        <a:xfrm>
          <a:off x="2133599" y="8610599"/>
          <a:ext cx="2591162" cy="109552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609600</xdr:colOff>
      <xdr:row>21</xdr:row>
      <xdr:rowOff>66675</xdr:rowOff>
    </xdr:to>
    <xdr:sp macro="" textlink="">
      <xdr:nvSpPr>
        <xdr:cNvPr id="2" name="ZoneTexte 1">
          <a:extLst>
            <a:ext uri="{FF2B5EF4-FFF2-40B4-BE49-F238E27FC236}">
              <a16:creationId xmlns:a16="http://schemas.microsoft.com/office/drawing/2014/main" id="{51225313-9D57-4BCA-B212-E2B269276FCF}"/>
            </a:ext>
          </a:extLst>
        </xdr:cNvPr>
        <xdr:cNvSpPr txBox="1"/>
      </xdr:nvSpPr>
      <xdr:spPr>
        <a:xfrm>
          <a:off x="0" y="4067175"/>
          <a:ext cx="15325725" cy="82867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considère une liste de projets engendrant des coûts ordinaires, fixes et marginaux. On essaye d'optimiser les coûts marginaux selon des contraintes indiqués en G3:L7.</a:t>
          </a:r>
          <a:br>
            <a:rPr lang="en-US" sz="1400" b="0" i="0" baseline="0">
              <a:solidFill>
                <a:schemeClr val="dk1"/>
              </a:solidFill>
              <a:effectLst/>
              <a:latin typeface="+mn-lt"/>
              <a:ea typeface="+mn-ea"/>
              <a:cs typeface="+mn-cs"/>
            </a:rPr>
          </a:br>
          <a:br>
            <a:rPr lang="en-US" sz="1400" b="0" i="0" baseline="0">
              <a:solidFill>
                <a:schemeClr val="dk1"/>
              </a:solidFill>
              <a:effectLst/>
              <a:latin typeface="+mn-lt"/>
              <a:ea typeface="+mn-ea"/>
              <a:cs typeface="+mn-cs"/>
            </a:rPr>
          </a:br>
          <a:r>
            <a:rPr lang="en-US" sz="1400" b="0" i="0" baseline="0">
              <a:solidFill>
                <a:schemeClr val="dk1"/>
              </a:solidFill>
              <a:effectLst/>
              <a:latin typeface="+mn-lt"/>
              <a:ea typeface="+mn-ea"/>
              <a:cs typeface="+mn-cs"/>
            </a:rPr>
            <a:t>Utilisez le solveur pour remplir toutes les contraintes imposées dans le calcul du budget total de la liste des projets.</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twoCellAnchor editAs="oneCell">
    <xdr:from>
      <xdr:col>7</xdr:col>
      <xdr:colOff>28575</xdr:colOff>
      <xdr:row>26</xdr:row>
      <xdr:rowOff>38100</xdr:rowOff>
    </xdr:from>
    <xdr:to>
      <xdr:col>14</xdr:col>
      <xdr:colOff>29319</xdr:colOff>
      <xdr:row>55</xdr:row>
      <xdr:rowOff>134134</xdr:rowOff>
    </xdr:to>
    <xdr:pic>
      <xdr:nvPicPr>
        <xdr:cNvPr id="3" name="Image 2">
          <a:extLst>
            <a:ext uri="{FF2B5EF4-FFF2-40B4-BE49-F238E27FC236}">
              <a16:creationId xmlns:a16="http://schemas.microsoft.com/office/drawing/2014/main" id="{D98B578D-C815-78F4-0297-4310F4A73391}"/>
            </a:ext>
          </a:extLst>
        </xdr:cNvPr>
        <xdr:cNvPicPr>
          <a:picLocks noChangeAspect="1"/>
        </xdr:cNvPicPr>
      </xdr:nvPicPr>
      <xdr:blipFill>
        <a:blip xmlns:r="http://schemas.openxmlformats.org/officeDocument/2006/relationships" r:embed="rId1"/>
        <a:stretch>
          <a:fillRect/>
        </a:stretch>
      </xdr:blipFill>
      <xdr:spPr>
        <a:xfrm>
          <a:off x="7124700" y="5819775"/>
          <a:ext cx="5334744" cy="562053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26</xdr:row>
      <xdr:rowOff>0</xdr:rowOff>
    </xdr:from>
    <xdr:to>
      <xdr:col>6</xdr:col>
      <xdr:colOff>1476374</xdr:colOff>
      <xdr:row>55</xdr:row>
      <xdr:rowOff>95250</xdr:rowOff>
    </xdr:to>
    <xdr:sp macro="" textlink="">
      <xdr:nvSpPr>
        <xdr:cNvPr id="4" name="ZoneTexte 3">
          <a:extLst>
            <a:ext uri="{FF2B5EF4-FFF2-40B4-BE49-F238E27FC236}">
              <a16:creationId xmlns:a16="http://schemas.microsoft.com/office/drawing/2014/main" id="{462AACB3-1379-4632-B1DD-2CA2EDC23568}"/>
            </a:ext>
          </a:extLst>
        </xdr:cNvPr>
        <xdr:cNvSpPr txBox="1"/>
      </xdr:nvSpPr>
      <xdr:spPr>
        <a:xfrm>
          <a:off x="0" y="5781675"/>
          <a:ext cx="6724649"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Solveur</a:t>
          </a:r>
          <a:br>
            <a:rPr lang="en-US" sz="1200">
              <a:effectLst/>
            </a:rPr>
          </a:br>
          <a:br>
            <a:rPr lang="en-US" sz="1200">
              <a:effectLst/>
            </a:rPr>
          </a:br>
          <a:r>
            <a:rPr lang="en-US" sz="1400" b="0" i="0">
              <a:solidFill>
                <a:schemeClr val="dk1"/>
              </a:solidFill>
              <a:effectLst/>
              <a:latin typeface="+mn-lt"/>
              <a:ea typeface="+mn-ea"/>
              <a:cs typeface="+mn-cs"/>
            </a:rPr>
            <a:t>Ajoutez les différentes contraintes</a:t>
          </a:r>
          <a:r>
            <a:rPr lang="en-US" sz="1400" b="0" i="0" baseline="0">
              <a:solidFill>
                <a:schemeClr val="dk1"/>
              </a:solidFill>
              <a:effectLst/>
              <a:latin typeface="+mn-lt"/>
              <a:ea typeface="+mn-ea"/>
              <a:cs typeface="+mn-cs"/>
            </a:rPr>
            <a:t> dans la fenêtre de dialogue comme indiqué dans la capture d'écran ci-contre.</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142875</xdr:colOff>
      <xdr:row>1</xdr:row>
      <xdr:rowOff>142875</xdr:rowOff>
    </xdr:from>
    <xdr:to>
      <xdr:col>8</xdr:col>
      <xdr:colOff>180975</xdr:colOff>
      <xdr:row>6</xdr:row>
      <xdr:rowOff>9525</xdr:rowOff>
    </xdr:to>
    <xdr:sp macro="" textlink="">
      <xdr:nvSpPr>
        <xdr:cNvPr id="3" name="ZoneTexte 2">
          <a:extLst>
            <a:ext uri="{FF2B5EF4-FFF2-40B4-BE49-F238E27FC236}">
              <a16:creationId xmlns:a16="http://schemas.microsoft.com/office/drawing/2014/main" id="{B8C16311-7048-4930-B3A7-3BCC1595C4FC}"/>
            </a:ext>
          </a:extLst>
        </xdr:cNvPr>
        <xdr:cNvSpPr txBox="1"/>
      </xdr:nvSpPr>
      <xdr:spPr>
        <a:xfrm>
          <a:off x="142875" y="866775"/>
          <a:ext cx="7381875" cy="8191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cherche à optimiser les frais d'expédition d'articles dans diverses boutiques.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xdr:txBody>
    </xdr:sp>
    <xdr:clientData/>
  </xdr:twoCellAnchor>
  <xdr:twoCellAnchor editAs="oneCell">
    <xdr:from>
      <xdr:col>6</xdr:col>
      <xdr:colOff>752475</xdr:colOff>
      <xdr:row>36</xdr:row>
      <xdr:rowOff>19050</xdr:rowOff>
    </xdr:from>
    <xdr:to>
      <xdr:col>12</xdr:col>
      <xdr:colOff>743698</xdr:colOff>
      <xdr:row>65</xdr:row>
      <xdr:rowOff>153190</xdr:rowOff>
    </xdr:to>
    <xdr:pic>
      <xdr:nvPicPr>
        <xdr:cNvPr id="4" name="Image 3">
          <a:extLst>
            <a:ext uri="{FF2B5EF4-FFF2-40B4-BE49-F238E27FC236}">
              <a16:creationId xmlns:a16="http://schemas.microsoft.com/office/drawing/2014/main" id="{B2B38ED0-F05E-8E55-5BD5-FB34D1A2387C}"/>
            </a:ext>
          </a:extLst>
        </xdr:cNvPr>
        <xdr:cNvPicPr>
          <a:picLocks noChangeAspect="1"/>
        </xdr:cNvPicPr>
      </xdr:nvPicPr>
      <xdr:blipFill>
        <a:blip xmlns:r="http://schemas.openxmlformats.org/officeDocument/2006/relationships" r:embed="rId1"/>
        <a:stretch>
          <a:fillRect/>
        </a:stretch>
      </xdr:blipFill>
      <xdr:spPr>
        <a:xfrm>
          <a:off x="5772150" y="7724775"/>
          <a:ext cx="5363323" cy="5658640"/>
        </a:xfrm>
        <a:prstGeom prst="rect">
          <a:avLst/>
        </a:prstGeom>
      </xdr:spPr>
    </xdr:pic>
    <xdr:clientData/>
  </xdr:twoCellAnchor>
  <xdr:twoCellAnchor>
    <xdr:from>
      <xdr:col>0</xdr:col>
      <xdr:colOff>1</xdr:colOff>
      <xdr:row>35</xdr:row>
      <xdr:rowOff>180975</xdr:rowOff>
    </xdr:from>
    <xdr:to>
      <xdr:col>6</xdr:col>
      <xdr:colOff>219076</xdr:colOff>
      <xdr:row>65</xdr:row>
      <xdr:rowOff>85725</xdr:rowOff>
    </xdr:to>
    <xdr:sp macro="" textlink="">
      <xdr:nvSpPr>
        <xdr:cNvPr id="6" name="ZoneTexte 5">
          <a:extLst>
            <a:ext uri="{FF2B5EF4-FFF2-40B4-BE49-F238E27FC236}">
              <a16:creationId xmlns:a16="http://schemas.microsoft.com/office/drawing/2014/main" id="{C61DFEA1-7C22-44F2-9BD8-4C8BA5E0053B}"/>
            </a:ext>
          </a:extLst>
        </xdr:cNvPr>
        <xdr:cNvSpPr txBox="1"/>
      </xdr:nvSpPr>
      <xdr:spPr>
        <a:xfrm>
          <a:off x="1" y="7696200"/>
          <a:ext cx="5238750"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Solveur</a:t>
          </a:r>
          <a:br>
            <a:rPr lang="en-US" sz="1200">
              <a:effectLst/>
            </a:rPr>
          </a:br>
          <a:br>
            <a:rPr lang="en-US" sz="1200">
              <a:effectLst/>
            </a:rPr>
          </a:br>
          <a:r>
            <a:rPr lang="en-US" sz="1400" b="0" i="0">
              <a:solidFill>
                <a:schemeClr val="dk1"/>
              </a:solidFill>
              <a:effectLst/>
              <a:latin typeface="+mn-lt"/>
              <a:ea typeface="+mn-ea"/>
              <a:cs typeface="+mn-cs"/>
            </a:rPr>
            <a:t>Objectif: atteindre la valeur minimale de la cellule F33 avec les contraintes mentionnées.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Remplissez la fenêtre de dialogue comme indiqué ci-contre.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Utilisez la résolution GRG non linéaire pour obtenir un résultat.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2DE8-7522-4CDA-BB57-1706BC8F961C}">
  <sheetPr>
    <outlinePr summaryBelow="0"/>
  </sheetPr>
  <dimension ref="B1:F14"/>
  <sheetViews>
    <sheetView showGridLines="0" workbookViewId="0">
      <selection activeCell="D13" sqref="D13"/>
    </sheetView>
  </sheetViews>
  <sheetFormatPr baseColWidth="10" defaultRowHeight="15" outlineLevelRow="1" outlineLevelCol="1" x14ac:dyDescent="0.25"/>
  <cols>
    <col min="3" max="3" width="6.28515625" bestFit="1" customWidth="1"/>
    <col min="4" max="6" width="15.42578125" bestFit="1" customWidth="1" outlineLevel="1"/>
  </cols>
  <sheetData>
    <row r="1" spans="2:6" ht="15.75" thickBot="1" x14ac:dyDescent="0.3"/>
    <row r="2" spans="2:6" ht="15.75" x14ac:dyDescent="0.25">
      <c r="B2" s="95" t="s">
        <v>114</v>
      </c>
      <c r="C2" s="95"/>
      <c r="D2" s="100"/>
      <c r="E2" s="100"/>
      <c r="F2" s="100"/>
    </row>
    <row r="3" spans="2:6" ht="15.75" collapsed="1" x14ac:dyDescent="0.25">
      <c r="B3" s="94"/>
      <c r="C3" s="94"/>
      <c r="D3" s="101" t="s">
        <v>116</v>
      </c>
      <c r="E3" s="101" t="s">
        <v>110</v>
      </c>
      <c r="F3" s="101" t="s">
        <v>113</v>
      </c>
    </row>
    <row r="4" spans="2:6" ht="56.25" hidden="1" outlineLevel="1" x14ac:dyDescent="0.25">
      <c r="B4" s="97"/>
      <c r="C4" s="97"/>
      <c r="E4" s="103" t="s">
        <v>121</v>
      </c>
      <c r="F4" s="103"/>
    </row>
    <row r="5" spans="2:6" x14ac:dyDescent="0.25">
      <c r="B5" s="98" t="s">
        <v>115</v>
      </c>
      <c r="C5" s="98"/>
      <c r="D5" s="96"/>
      <c r="E5" s="96"/>
      <c r="F5" s="96"/>
    </row>
    <row r="6" spans="2:6" outlineLevel="1" x14ac:dyDescent="0.25">
      <c r="B6" s="104"/>
      <c r="C6" s="105" t="s">
        <v>104</v>
      </c>
      <c r="D6">
        <v>12</v>
      </c>
      <c r="E6" s="102">
        <v>10</v>
      </c>
      <c r="F6" s="102">
        <v>8</v>
      </c>
    </row>
    <row r="7" spans="2:6" outlineLevel="1" x14ac:dyDescent="0.25">
      <c r="B7" s="104"/>
      <c r="C7" s="105" t="s">
        <v>105</v>
      </c>
      <c r="D7">
        <v>7</v>
      </c>
      <c r="E7" s="102">
        <v>10</v>
      </c>
      <c r="F7" s="102">
        <v>8</v>
      </c>
    </row>
    <row r="8" spans="2:6" outlineLevel="1" x14ac:dyDescent="0.25">
      <c r="B8" s="104"/>
      <c r="C8" s="105" t="s">
        <v>106</v>
      </c>
      <c r="D8">
        <v>60</v>
      </c>
      <c r="E8" s="102">
        <v>60</v>
      </c>
      <c r="F8" s="102">
        <v>75</v>
      </c>
    </row>
    <row r="9" spans="2:6" outlineLevel="1" x14ac:dyDescent="0.25">
      <c r="B9" s="104"/>
      <c r="C9" s="105" t="s">
        <v>107</v>
      </c>
      <c r="D9">
        <v>5</v>
      </c>
      <c r="E9" s="102">
        <v>5</v>
      </c>
      <c r="F9" s="102">
        <v>10</v>
      </c>
    </row>
    <row r="10" spans="2:6" x14ac:dyDescent="0.25">
      <c r="B10" s="98" t="s">
        <v>117</v>
      </c>
      <c r="C10" s="98"/>
      <c r="D10" s="96"/>
      <c r="E10" s="96"/>
      <c r="F10" s="96"/>
    </row>
    <row r="11" spans="2:6" ht="15.75" outlineLevel="1" thickBot="1" x14ac:dyDescent="0.3">
      <c r="B11" s="99"/>
      <c r="C11" s="99" t="s">
        <v>0</v>
      </c>
      <c r="D11" s="93">
        <v>35000</v>
      </c>
      <c r="E11" s="93">
        <v>35500</v>
      </c>
      <c r="F11" s="93">
        <v>41000</v>
      </c>
    </row>
    <row r="12" spans="2:6" x14ac:dyDescent="0.25">
      <c r="B12" t="s">
        <v>118</v>
      </c>
    </row>
    <row r="13" spans="2:6" x14ac:dyDescent="0.25">
      <c r="B13" t="s">
        <v>119</v>
      </c>
    </row>
    <row r="14" spans="2:6" x14ac:dyDescent="0.25">
      <c r="B14"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BEDC-75BB-4F3B-B218-B6C7884E18DA}">
  <dimension ref="A1:H18"/>
  <sheetViews>
    <sheetView topLeftCell="A31" workbookViewId="0">
      <selection activeCell="O21" sqref="O21"/>
    </sheetView>
  </sheetViews>
  <sheetFormatPr baseColWidth="10" defaultRowHeight="15" x14ac:dyDescent="0.25"/>
  <cols>
    <col min="1" max="1" width="17.140625" customWidth="1"/>
    <col min="3" max="3" width="14.140625" customWidth="1"/>
    <col min="4" max="4" width="15.28515625" bestFit="1" customWidth="1"/>
  </cols>
  <sheetData>
    <row r="1" spans="1:8" s="8" customFormat="1" ht="57" customHeight="1" x14ac:dyDescent="0.9">
      <c r="A1" s="7" t="s">
        <v>100</v>
      </c>
    </row>
    <row r="11" spans="1:8" ht="33.75" x14ac:dyDescent="0.5">
      <c r="A11" s="89" t="s">
        <v>109</v>
      </c>
      <c r="G11" t="s">
        <v>112</v>
      </c>
    </row>
    <row r="12" spans="1:8" x14ac:dyDescent="0.25">
      <c r="A12" s="90" t="s">
        <v>101</v>
      </c>
      <c r="B12" s="90" t="s">
        <v>102</v>
      </c>
      <c r="C12" s="90" t="s">
        <v>103</v>
      </c>
      <c r="D12" s="90" t="s">
        <v>90</v>
      </c>
      <c r="G12" s="90" t="s">
        <v>110</v>
      </c>
      <c r="H12" s="90" t="s">
        <v>111</v>
      </c>
    </row>
    <row r="13" spans="1:8" x14ac:dyDescent="0.25">
      <c r="A13" t="s">
        <v>104</v>
      </c>
      <c r="B13">
        <v>12</v>
      </c>
      <c r="C13" s="5">
        <v>500</v>
      </c>
      <c r="D13" s="5">
        <f>C13*B13</f>
        <v>6000</v>
      </c>
      <c r="G13">
        <v>10</v>
      </c>
      <c r="H13">
        <v>8</v>
      </c>
    </row>
    <row r="14" spans="1:8" x14ac:dyDescent="0.25">
      <c r="A14" t="s">
        <v>105</v>
      </c>
      <c r="B14">
        <v>7</v>
      </c>
      <c r="C14" s="5">
        <v>500</v>
      </c>
      <c r="D14" s="5">
        <f t="shared" ref="D14:D16" si="0">C14*B14</f>
        <v>3500</v>
      </c>
      <c r="G14">
        <v>10</v>
      </c>
      <c r="H14">
        <v>8</v>
      </c>
    </row>
    <row r="15" spans="1:8" x14ac:dyDescent="0.25">
      <c r="A15" t="s">
        <v>106</v>
      </c>
      <c r="B15">
        <v>60</v>
      </c>
      <c r="C15" s="5">
        <v>400</v>
      </c>
      <c r="D15" s="5">
        <f t="shared" si="0"/>
        <v>24000</v>
      </c>
      <c r="G15">
        <v>60</v>
      </c>
      <c r="H15">
        <v>75</v>
      </c>
    </row>
    <row r="16" spans="1:8" x14ac:dyDescent="0.25">
      <c r="A16" t="s">
        <v>107</v>
      </c>
      <c r="B16">
        <v>5</v>
      </c>
      <c r="C16" s="5">
        <v>300</v>
      </c>
      <c r="D16" s="5">
        <f t="shared" si="0"/>
        <v>1500</v>
      </c>
      <c r="G16">
        <v>5</v>
      </c>
      <c r="H16">
        <v>10</v>
      </c>
    </row>
    <row r="18" spans="3:4" x14ac:dyDescent="0.25">
      <c r="C18" s="91" t="s">
        <v>108</v>
      </c>
      <c r="D18" s="92">
        <f>SUM(D13:D16)</f>
        <v>35000</v>
      </c>
    </row>
  </sheetData>
  <scenarios current="0" show="0" sqref="D18">
    <scenario name="Fred" locked="1" count="4" user="Ludovic Moreau" comment="comparaison des estimations Proet A_x000a_Modifié par: Ludovic Moreau le 10.02.2026">
      <inputCells r="B13" val="10"/>
      <inputCells r="B14" val="10"/>
      <inputCells r="B15" val="60"/>
      <inputCells r="B16" val="5"/>
    </scenario>
    <scenario name="Sarah" locked="1" count="4" user="Ludovic Moreau">
      <inputCells r="B13" val="8"/>
      <inputCells r="B14" val="8"/>
      <inputCells r="B15" val="75"/>
      <inputCells r="B16" val="10"/>
    </scenario>
  </scenario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9AE32-935B-49E4-8327-44842BF8F689}">
  <dimension ref="A1:N29"/>
  <sheetViews>
    <sheetView tabSelected="1" topLeftCell="A5" workbookViewId="0">
      <selection sqref="A1:XFD1"/>
    </sheetView>
  </sheetViews>
  <sheetFormatPr baseColWidth="10" defaultColWidth="9.140625" defaultRowHeight="15" x14ac:dyDescent="0.25"/>
  <cols>
    <col min="1" max="1" width="18.42578125" customWidth="1"/>
    <col min="2" max="2" width="14.42578125" bestFit="1" customWidth="1"/>
    <col min="7" max="7" width="3.42578125" style="6" customWidth="1"/>
  </cols>
  <sheetData>
    <row r="1" spans="1:14" s="8" customFormat="1" ht="57" customHeight="1" x14ac:dyDescent="0.9">
      <c r="A1" s="7" t="s">
        <v>13</v>
      </c>
    </row>
    <row r="8" spans="1:14" ht="15.75" x14ac:dyDescent="0.25">
      <c r="A8" s="9" t="s">
        <v>4</v>
      </c>
      <c r="B8" s="12">
        <v>9090.9090909090901</v>
      </c>
    </row>
    <row r="9" spans="1:14" ht="15.75" x14ac:dyDescent="0.25">
      <c r="A9" s="9" t="s">
        <v>5</v>
      </c>
      <c r="B9" s="13">
        <v>5</v>
      </c>
    </row>
    <row r="10" spans="1:14" ht="15.75" x14ac:dyDescent="0.25">
      <c r="A10" s="9" t="s">
        <v>6</v>
      </c>
      <c r="B10" s="13">
        <v>2.8</v>
      </c>
    </row>
    <row r="11" spans="1:14" ht="15.75" x14ac:dyDescent="0.25">
      <c r="A11" s="9" t="s">
        <v>7</v>
      </c>
      <c r="B11" s="13">
        <v>10000</v>
      </c>
    </row>
    <row r="12" spans="1:14" ht="15.75" x14ac:dyDescent="0.25">
      <c r="A12" s="9" t="s">
        <v>8</v>
      </c>
      <c r="B12" s="14">
        <f>B8*(B9-B10)-B11</f>
        <v>10000</v>
      </c>
      <c r="D12" s="1" t="str">
        <f ca="1">_xlfn.FORMULATEXT(B12)</f>
        <v>=B8*(B9-B10)-B11</v>
      </c>
    </row>
    <row r="14" spans="1:14" ht="31.5" x14ac:dyDescent="0.5">
      <c r="A14" s="107" t="s">
        <v>1</v>
      </c>
      <c r="B14" s="107"/>
      <c r="C14" s="107"/>
      <c r="D14" s="107"/>
      <c r="E14" s="107"/>
      <c r="F14" s="107"/>
      <c r="G14" s="107"/>
      <c r="H14" s="107"/>
      <c r="I14" s="107"/>
      <c r="J14" s="107"/>
      <c r="K14" s="107"/>
      <c r="L14" s="107"/>
      <c r="M14" s="107"/>
    </row>
    <row r="15" spans="1:14" ht="48" customHeight="1" x14ac:dyDescent="0.3">
      <c r="A15" s="106" t="s">
        <v>2</v>
      </c>
      <c r="B15" s="106"/>
      <c r="C15" s="106"/>
      <c r="D15" s="106"/>
      <c r="E15" s="106"/>
      <c r="F15" s="106"/>
      <c r="H15" s="106" t="s">
        <v>3</v>
      </c>
      <c r="I15" s="106"/>
      <c r="J15" s="106"/>
      <c r="K15" s="106"/>
      <c r="L15" s="106"/>
      <c r="M15" s="106"/>
      <c r="N15" s="11"/>
    </row>
    <row r="17" spans="1:13" ht="31.5" x14ac:dyDescent="0.5">
      <c r="A17" s="107" t="s">
        <v>15</v>
      </c>
      <c r="B17" s="107"/>
      <c r="C17" s="107"/>
      <c r="D17" s="107"/>
      <c r="E17" s="107"/>
      <c r="F17" s="107"/>
      <c r="G17" s="107"/>
      <c r="H17" s="107"/>
      <c r="I17" s="107"/>
      <c r="J17" s="107"/>
      <c r="K17" s="107"/>
      <c r="L17" s="107"/>
      <c r="M17" s="107"/>
    </row>
    <row r="18" spans="1:13" x14ac:dyDescent="0.25">
      <c r="A18" s="1" t="s">
        <v>9</v>
      </c>
      <c r="H18" s="1" t="s">
        <v>12</v>
      </c>
    </row>
    <row r="19" spans="1:13" x14ac:dyDescent="0.25">
      <c r="A19" t="s">
        <v>10</v>
      </c>
      <c r="H19" t="s">
        <v>10</v>
      </c>
    </row>
    <row r="29" spans="1:13" ht="15.75" x14ac:dyDescent="0.25">
      <c r="A29" s="9" t="s">
        <v>11</v>
      </c>
      <c r="H29" s="9" t="s">
        <v>14</v>
      </c>
    </row>
  </sheetData>
  <mergeCells count="4">
    <mergeCell ref="A15:F15"/>
    <mergeCell ref="H15:M15"/>
    <mergeCell ref="A14:M14"/>
    <mergeCell ref="A17:M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73CF-7270-4BF6-9481-05EDCDA85D57}">
  <dimension ref="A1:Q45"/>
  <sheetViews>
    <sheetView topLeftCell="A12" workbookViewId="0">
      <selection activeCell="Q23" sqref="Q23"/>
    </sheetView>
  </sheetViews>
  <sheetFormatPr baseColWidth="10" defaultRowHeight="15" x14ac:dyDescent="0.25"/>
  <cols>
    <col min="1" max="1" width="4.85546875" customWidth="1"/>
    <col min="2" max="2" width="23.28515625" customWidth="1"/>
    <col min="3" max="3" width="12.7109375" bestFit="1" customWidth="1"/>
    <col min="14" max="14" width="16.140625" bestFit="1" customWidth="1"/>
    <col min="15" max="15" width="11.5703125" bestFit="1" customWidth="1"/>
    <col min="16" max="16" width="12.7109375" bestFit="1" customWidth="1"/>
    <col min="17" max="17" width="17.140625" bestFit="1" customWidth="1"/>
  </cols>
  <sheetData>
    <row r="1" spans="1:17" s="8" customFormat="1" ht="57" customHeight="1" x14ac:dyDescent="0.9">
      <c r="A1" s="7" t="s">
        <v>16</v>
      </c>
    </row>
    <row r="12" spans="1:17" x14ac:dyDescent="0.25">
      <c r="B12" s="108" t="s">
        <v>17</v>
      </c>
      <c r="C12" s="108"/>
      <c r="N12" s="22" t="s">
        <v>18</v>
      </c>
      <c r="O12" s="22" t="s">
        <v>19</v>
      </c>
      <c r="P12" s="22" t="s">
        <v>20</v>
      </c>
      <c r="Q12" s="22" t="s">
        <v>21</v>
      </c>
    </row>
    <row r="13" spans="1:17" ht="15.75" x14ac:dyDescent="0.25">
      <c r="B13" s="15" t="s">
        <v>22</v>
      </c>
      <c r="C13" s="16">
        <v>400000</v>
      </c>
      <c r="E13" t="s">
        <v>23</v>
      </c>
      <c r="N13" s="25">
        <f>C19</f>
        <v>320000</v>
      </c>
      <c r="O13" s="25">
        <f>C20</f>
        <v>1366.4524764950288</v>
      </c>
      <c r="P13" s="25">
        <f>C21</f>
        <v>491922.89153821039</v>
      </c>
      <c r="Q13" s="25">
        <f>C22</f>
        <v>171922.89153821039</v>
      </c>
    </row>
    <row r="14" spans="1:17" x14ac:dyDescent="0.25">
      <c r="B14" s="15" t="s">
        <v>24</v>
      </c>
      <c r="C14" s="17">
        <v>0.2</v>
      </c>
      <c r="E14" t="s">
        <v>25</v>
      </c>
      <c r="M14" s="23">
        <v>2.75E-2</v>
      </c>
      <c r="N14" s="5">
        <f t="dataTable" ref="N14:Q23" dt2D="0" dtr="0" r1="C16"/>
        <v>320000</v>
      </c>
      <c r="O14" s="5">
        <v>1306.3717791962988</v>
      </c>
      <c r="P14" s="5">
        <v>470293.84051066759</v>
      </c>
      <c r="Q14" s="5">
        <v>150293.84051066759</v>
      </c>
    </row>
    <row r="15" spans="1:17" x14ac:dyDescent="0.25">
      <c r="B15" s="15" t="s">
        <v>26</v>
      </c>
      <c r="C15" s="15">
        <v>360</v>
      </c>
      <c r="E15" t="s">
        <v>27</v>
      </c>
      <c r="M15" s="24">
        <v>0.03</v>
      </c>
      <c r="N15" s="5">
        <v>320000</v>
      </c>
      <c r="O15" s="5">
        <v>1349.1329079342415</v>
      </c>
      <c r="P15" s="5">
        <v>485687.84685632697</v>
      </c>
      <c r="Q15" s="5">
        <v>165687.84685632697</v>
      </c>
    </row>
    <row r="16" spans="1:17" x14ac:dyDescent="0.25">
      <c r="B16" s="15" t="s">
        <v>28</v>
      </c>
      <c r="C16" s="18">
        <v>3.1E-2</v>
      </c>
      <c r="E16" t="s">
        <v>29</v>
      </c>
      <c r="M16" s="23">
        <v>3.2500000000000001E-2</v>
      </c>
      <c r="N16" s="5">
        <v>320000</v>
      </c>
      <c r="O16" s="5">
        <v>1392.660221031618</v>
      </c>
      <c r="P16" s="5">
        <v>501357.67957138247</v>
      </c>
      <c r="Q16" s="5">
        <v>181357.67957138247</v>
      </c>
    </row>
    <row r="17" spans="2:17" x14ac:dyDescent="0.25">
      <c r="M17" s="24">
        <v>3.5000000000000003E-2</v>
      </c>
      <c r="N17" s="5">
        <v>320000</v>
      </c>
      <c r="O17" s="5">
        <v>1436.9430009882383</v>
      </c>
      <c r="P17" s="5">
        <v>517299.48035576579</v>
      </c>
      <c r="Q17" s="5">
        <v>197299.48035576579</v>
      </c>
    </row>
    <row r="18" spans="2:17" x14ac:dyDescent="0.25">
      <c r="B18" s="108" t="s">
        <v>30</v>
      </c>
      <c r="C18" s="108"/>
      <c r="M18" s="23">
        <v>3.7499999999999999E-2</v>
      </c>
      <c r="N18" s="5">
        <v>320000</v>
      </c>
      <c r="O18" s="5">
        <v>1481.9698930308089</v>
      </c>
      <c r="P18" s="5">
        <v>533509.16149109125</v>
      </c>
      <c r="Q18" s="5">
        <v>213509.16149109125</v>
      </c>
    </row>
    <row r="19" spans="2:17" x14ac:dyDescent="0.25">
      <c r="B19" s="15" t="s">
        <v>18</v>
      </c>
      <c r="C19" s="19">
        <f>C13*(1-C14)</f>
        <v>320000</v>
      </c>
      <c r="D19" s="20"/>
      <c r="E19" t="s">
        <v>31</v>
      </c>
      <c r="M19" s="24">
        <v>0.04</v>
      </c>
      <c r="N19" s="5">
        <v>320000</v>
      </c>
      <c r="O19" s="5">
        <v>1527.7289454894703</v>
      </c>
      <c r="P19" s="5">
        <v>549982.42037620931</v>
      </c>
      <c r="Q19" s="5">
        <v>229982.42037620931</v>
      </c>
    </row>
    <row r="20" spans="2:17" x14ac:dyDescent="0.25">
      <c r="B20" s="15" t="s">
        <v>19</v>
      </c>
      <c r="C20" s="19">
        <f>PMT(C16/12,C15,-C19)</f>
        <v>1366.4524764950288</v>
      </c>
      <c r="D20" s="20"/>
      <c r="E20" s="1" t="s">
        <v>32</v>
      </c>
      <c r="M20" s="23">
        <v>4.2500000000000003E-2</v>
      </c>
      <c r="N20" s="5">
        <v>320000</v>
      </c>
      <c r="O20" s="5">
        <v>1574.2076514543476</v>
      </c>
      <c r="P20" s="5">
        <v>566714.75452356518</v>
      </c>
      <c r="Q20" s="5">
        <v>246714.75452356518</v>
      </c>
    </row>
    <row r="21" spans="2:17" x14ac:dyDescent="0.25">
      <c r="B21" s="15" t="s">
        <v>20</v>
      </c>
      <c r="C21" s="19">
        <f>C20*C15</f>
        <v>491922.89153821039</v>
      </c>
      <c r="D21" s="20"/>
      <c r="M21" s="24">
        <v>4.4999999999999998E-2</v>
      </c>
      <c r="N21" s="5">
        <v>320000</v>
      </c>
      <c r="O21" s="5">
        <v>1621.3929914428181</v>
      </c>
      <c r="P21" s="5">
        <v>583701.47691941448</v>
      </c>
      <c r="Q21" s="5">
        <v>263701.47691941448</v>
      </c>
    </row>
    <row r="22" spans="2:17" x14ac:dyDescent="0.25">
      <c r="B22" s="15" t="s">
        <v>21</v>
      </c>
      <c r="C22" s="19">
        <f>C21-C19</f>
        <v>171922.89153821039</v>
      </c>
      <c r="D22" s="20"/>
      <c r="M22" s="23">
        <v>4.7500000000000001E-2</v>
      </c>
      <c r="N22" s="5">
        <v>320000</v>
      </c>
      <c r="O22" s="5">
        <v>1669.2714768099549</v>
      </c>
      <c r="P22" s="5">
        <v>600937.7316515838</v>
      </c>
      <c r="Q22" s="5">
        <v>280937.7316515838</v>
      </c>
    </row>
    <row r="23" spans="2:17" x14ac:dyDescent="0.25">
      <c r="M23" s="24">
        <v>0.05</v>
      </c>
      <c r="N23" s="5">
        <v>320000</v>
      </c>
      <c r="O23" s="5">
        <v>1717.829193638845</v>
      </c>
      <c r="P23" s="5">
        <v>618418.50970998418</v>
      </c>
      <c r="Q23" s="5">
        <v>298418.50970998418</v>
      </c>
    </row>
    <row r="45" spans="2:2" ht="18.75" x14ac:dyDescent="0.3">
      <c r="B45" s="21" t="s">
        <v>33</v>
      </c>
    </row>
  </sheetData>
  <mergeCells count="2">
    <mergeCell ref="B12:C12"/>
    <mergeCell ref="B18:C18"/>
  </mergeCells>
  <pageMargins left="0.7" right="0.7" top="0.75" bottom="0.75" header="0.3" footer="0.3"/>
  <ignoredErrors>
    <ignoredError sqref="C19:C22" unlocked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7A62-9822-49DC-BEDE-2FB3528402A0}">
  <dimension ref="A1:S46"/>
  <sheetViews>
    <sheetView topLeftCell="A12" workbookViewId="0">
      <selection activeCell="K26" sqref="K26"/>
    </sheetView>
  </sheetViews>
  <sheetFormatPr baseColWidth="10" defaultRowHeight="15" x14ac:dyDescent="0.25"/>
  <cols>
    <col min="1" max="1" width="4.85546875" customWidth="1"/>
    <col min="2" max="2" width="32.7109375" customWidth="1"/>
    <col min="3" max="3" width="12.7109375" bestFit="1" customWidth="1"/>
    <col min="14" max="14" width="16.140625" bestFit="1" customWidth="1"/>
    <col min="15" max="15" width="11.5703125" bestFit="1" customWidth="1"/>
    <col min="16" max="16" width="12.7109375" bestFit="1" customWidth="1"/>
    <col min="17" max="17" width="17.140625" bestFit="1" customWidth="1"/>
  </cols>
  <sheetData>
    <row r="1" spans="1:17" s="8" customFormat="1" ht="57" customHeight="1" x14ac:dyDescent="0.9">
      <c r="A1" s="7" t="s">
        <v>34</v>
      </c>
      <c r="M1" s="6"/>
      <c r="N1" s="6"/>
      <c r="O1" s="6"/>
      <c r="P1" s="6"/>
      <c r="Q1" s="6"/>
    </row>
    <row r="12" spans="1:17" ht="15.75" x14ac:dyDescent="0.25">
      <c r="B12" s="109" t="s">
        <v>35</v>
      </c>
      <c r="C12" s="109"/>
    </row>
    <row r="13" spans="1:17" ht="15.75" x14ac:dyDescent="0.25">
      <c r="B13" s="26" t="s">
        <v>36</v>
      </c>
      <c r="C13" s="27">
        <v>225000</v>
      </c>
      <c r="E13" s="10" t="s">
        <v>46</v>
      </c>
    </row>
    <row r="14" spans="1:17" ht="15.75" x14ac:dyDescent="0.25">
      <c r="B14" s="26" t="s">
        <v>37</v>
      </c>
      <c r="C14" s="28">
        <v>2.5000000000000001E-2</v>
      </c>
      <c r="E14" s="10" t="s">
        <v>47</v>
      </c>
    </row>
    <row r="15" spans="1:17" ht="15.75" x14ac:dyDescent="0.25">
      <c r="B15" s="10"/>
      <c r="C15" s="29"/>
      <c r="E15" s="10"/>
    </row>
    <row r="16" spans="1:17" ht="15.75" x14ac:dyDescent="0.25">
      <c r="B16" s="110" t="s">
        <v>38</v>
      </c>
      <c r="C16" s="111"/>
      <c r="E16" s="10"/>
    </row>
    <row r="17" spans="2:19" ht="15.75" x14ac:dyDescent="0.25">
      <c r="B17" s="30" t="s">
        <v>39</v>
      </c>
      <c r="C17" s="31">
        <f>IF(C13&lt;200000,0.2,IF(C13&lt;300000,0.15,0.1))</f>
        <v>0.15</v>
      </c>
      <c r="E17" s="10" t="s">
        <v>48</v>
      </c>
    </row>
    <row r="18" spans="2:19" ht="15.75" x14ac:dyDescent="0.25">
      <c r="B18" s="30" t="s">
        <v>40</v>
      </c>
      <c r="C18" s="31">
        <v>0.28000000000000003</v>
      </c>
      <c r="E18" s="10" t="s">
        <v>49</v>
      </c>
    </row>
    <row r="19" spans="2:19" ht="15.75" x14ac:dyDescent="0.25">
      <c r="B19" s="30" t="s">
        <v>41</v>
      </c>
      <c r="C19" s="32">
        <f>C13*C14</f>
        <v>5625</v>
      </c>
      <c r="D19" s="20"/>
      <c r="E19" s="10" t="s">
        <v>50</v>
      </c>
    </row>
    <row r="20" spans="2:19" ht="15.75" x14ac:dyDescent="0.25">
      <c r="B20" s="30" t="s">
        <v>42</v>
      </c>
      <c r="C20" s="31">
        <v>18.5</v>
      </c>
      <c r="D20" s="20"/>
      <c r="E20" s="10" t="s">
        <v>51</v>
      </c>
    </row>
    <row r="21" spans="2:19" ht="15.75" x14ac:dyDescent="0.25">
      <c r="B21" s="30" t="s">
        <v>43</v>
      </c>
      <c r="C21" s="33">
        <f>C19*C20</f>
        <v>104062.5</v>
      </c>
      <c r="D21" s="20"/>
      <c r="E21" s="10" t="s">
        <v>53</v>
      </c>
    </row>
    <row r="22" spans="2:19" ht="15.75" x14ac:dyDescent="0.25">
      <c r="B22" s="30" t="s">
        <v>44</v>
      </c>
      <c r="C22" s="33">
        <f>C13*(C17+C18)</f>
        <v>96750.000000000015</v>
      </c>
      <c r="D22" s="20"/>
      <c r="E22" s="10" t="str">
        <f ca="1">"Total des coûts fixes "&amp;_xlfn.FORMULATEXT(C22)</f>
        <v>Total des coûts fixes =C13*(C17+C18)</v>
      </c>
    </row>
    <row r="23" spans="2:19" ht="18.75" x14ac:dyDescent="0.3">
      <c r="B23" s="34" t="s">
        <v>45</v>
      </c>
      <c r="C23" s="35">
        <f>C21-C22</f>
        <v>7312.4999999999854</v>
      </c>
    </row>
    <row r="26" spans="2:19" x14ac:dyDescent="0.25">
      <c r="K26" s="39">
        <f>C23</f>
        <v>7312.4999999999854</v>
      </c>
      <c r="L26" s="38">
        <v>1.4999999999999999E-2</v>
      </c>
      <c r="M26" s="38">
        <v>1.7500000000000002E-2</v>
      </c>
      <c r="N26" s="38">
        <v>0.02</v>
      </c>
      <c r="O26" s="38">
        <v>2.2499999999999999E-2</v>
      </c>
      <c r="P26" s="38">
        <v>2.5000000000000001E-2</v>
      </c>
      <c r="Q26" s="38">
        <v>2.75E-2</v>
      </c>
      <c r="R26" s="38">
        <v>0.03</v>
      </c>
      <c r="S26" s="38">
        <v>3.2500000000000001E-2</v>
      </c>
    </row>
    <row r="27" spans="2:19" x14ac:dyDescent="0.25">
      <c r="K27" s="37">
        <v>100000</v>
      </c>
      <c r="L27" s="37">
        <f t="dataTable" ref="L27:S43" dt2D="1" dtr="1" r1="C14" r2="C13"/>
        <v>-20250.000000000007</v>
      </c>
      <c r="M27" s="37">
        <v>-15625.000000000004</v>
      </c>
      <c r="N27" s="37">
        <v>-11000.000000000007</v>
      </c>
      <c r="O27" s="37">
        <v>-6375.0000000000073</v>
      </c>
      <c r="P27" s="37">
        <v>-1750.0000000000073</v>
      </c>
      <c r="Q27" s="37">
        <v>2874.9999999999927</v>
      </c>
      <c r="R27" s="37">
        <v>7499.9999999999927</v>
      </c>
      <c r="S27" s="37">
        <v>12124.999999999993</v>
      </c>
    </row>
    <row r="28" spans="2:19" x14ac:dyDescent="0.25">
      <c r="K28" s="37">
        <v>125000</v>
      </c>
      <c r="L28" s="37">
        <v>-25312.500000000007</v>
      </c>
      <c r="M28" s="37">
        <v>-19531.250000000007</v>
      </c>
      <c r="N28" s="37">
        <v>-13750.000000000007</v>
      </c>
      <c r="O28" s="37">
        <v>-7968.7500000000073</v>
      </c>
      <c r="P28" s="37">
        <v>-2187.5000000000073</v>
      </c>
      <c r="Q28" s="37">
        <v>3593.7499999999927</v>
      </c>
      <c r="R28" s="37">
        <v>9374.9999999999927</v>
      </c>
      <c r="S28" s="37">
        <v>15156.249999999993</v>
      </c>
    </row>
    <row r="29" spans="2:19" x14ac:dyDescent="0.25">
      <c r="K29" s="37">
        <v>150000</v>
      </c>
      <c r="L29" s="37">
        <v>-30375</v>
      </c>
      <c r="M29" s="37">
        <v>-23437.499999999993</v>
      </c>
      <c r="N29" s="37">
        <v>-16500</v>
      </c>
      <c r="O29" s="37">
        <v>-9562.5</v>
      </c>
      <c r="P29" s="37">
        <v>-2625</v>
      </c>
      <c r="Q29" s="37">
        <v>4312.5</v>
      </c>
      <c r="R29" s="37">
        <v>11250</v>
      </c>
      <c r="S29" s="37">
        <v>18187.5</v>
      </c>
    </row>
    <row r="30" spans="2:19" x14ac:dyDescent="0.25">
      <c r="K30" s="37">
        <v>175000</v>
      </c>
      <c r="L30" s="37">
        <v>-35437.5</v>
      </c>
      <c r="M30" s="37">
        <v>-27343.749999999993</v>
      </c>
      <c r="N30" s="37">
        <v>-19250</v>
      </c>
      <c r="O30" s="37">
        <v>-11156.25</v>
      </c>
      <c r="P30" s="37">
        <v>-3062.5</v>
      </c>
      <c r="Q30" s="37">
        <v>5031.25</v>
      </c>
      <c r="R30" s="37">
        <v>13125</v>
      </c>
      <c r="S30" s="37">
        <v>21218.75</v>
      </c>
    </row>
    <row r="31" spans="2:19" x14ac:dyDescent="0.25">
      <c r="K31" s="37">
        <v>200000</v>
      </c>
      <c r="L31" s="37">
        <v>-30500.000000000015</v>
      </c>
      <c r="M31" s="37">
        <v>-21250.000000000007</v>
      </c>
      <c r="N31" s="37">
        <v>-12000.000000000015</v>
      </c>
      <c r="O31" s="37">
        <v>-2750.0000000000146</v>
      </c>
      <c r="P31" s="37">
        <v>6499.9999999999854</v>
      </c>
      <c r="Q31" s="37">
        <v>15749.999999999985</v>
      </c>
      <c r="R31" s="37">
        <v>24999.999999999985</v>
      </c>
      <c r="S31" s="37">
        <v>34249.999999999985</v>
      </c>
    </row>
    <row r="32" spans="2:19" x14ac:dyDescent="0.25">
      <c r="K32" s="37">
        <v>225000</v>
      </c>
      <c r="L32" s="37">
        <v>-34312.500000000015</v>
      </c>
      <c r="M32" s="37">
        <v>-23906.25</v>
      </c>
      <c r="N32" s="37">
        <v>-13500.000000000015</v>
      </c>
      <c r="O32" s="37">
        <v>-3093.7500000000146</v>
      </c>
      <c r="P32" s="37">
        <v>7312.4999999999854</v>
      </c>
      <c r="Q32" s="37">
        <v>17718.749999999985</v>
      </c>
      <c r="R32" s="37">
        <v>28124.999999999985</v>
      </c>
      <c r="S32" s="37">
        <v>38531.249999999985</v>
      </c>
    </row>
    <row r="33" spans="2:19" x14ac:dyDescent="0.25">
      <c r="K33" s="37">
        <v>250000</v>
      </c>
      <c r="L33" s="37">
        <v>-38125.000000000015</v>
      </c>
      <c r="M33" s="37">
        <v>-26562.500000000015</v>
      </c>
      <c r="N33" s="37">
        <v>-15000.000000000015</v>
      </c>
      <c r="O33" s="37">
        <v>-3437.5000000000146</v>
      </c>
      <c r="P33" s="37">
        <v>8124.9999999999854</v>
      </c>
      <c r="Q33" s="37">
        <v>19687.499999999985</v>
      </c>
      <c r="R33" s="37">
        <v>31249.999999999985</v>
      </c>
      <c r="S33" s="37">
        <v>42812.499999999985</v>
      </c>
    </row>
    <row r="34" spans="2:19" x14ac:dyDescent="0.25">
      <c r="K34" s="37">
        <v>275000</v>
      </c>
      <c r="L34" s="37">
        <v>-41937.500000000015</v>
      </c>
      <c r="M34" s="37">
        <v>-29218.75</v>
      </c>
      <c r="N34" s="37">
        <v>-16500.000000000015</v>
      </c>
      <c r="O34" s="37">
        <v>-3781.2500000000146</v>
      </c>
      <c r="P34" s="37">
        <v>8937.4999999999854</v>
      </c>
      <c r="Q34" s="37">
        <v>21656.249999999985</v>
      </c>
      <c r="R34" s="37">
        <v>34374.999999999985</v>
      </c>
      <c r="S34" s="37">
        <v>47093.749999999985</v>
      </c>
    </row>
    <row r="35" spans="2:19" x14ac:dyDescent="0.25">
      <c r="K35" s="37">
        <v>300000</v>
      </c>
      <c r="L35" s="37">
        <v>-30750</v>
      </c>
      <c r="M35" s="37">
        <v>-16874.999999999985</v>
      </c>
      <c r="N35" s="37">
        <v>-3000</v>
      </c>
      <c r="O35" s="37">
        <v>10875</v>
      </c>
      <c r="P35" s="37">
        <v>24750</v>
      </c>
      <c r="Q35" s="37">
        <v>38625</v>
      </c>
      <c r="R35" s="37">
        <v>52500</v>
      </c>
      <c r="S35" s="37">
        <v>66375</v>
      </c>
    </row>
    <row r="36" spans="2:19" x14ac:dyDescent="0.25">
      <c r="K36" s="37">
        <v>325000</v>
      </c>
      <c r="L36" s="37">
        <v>-33312.5</v>
      </c>
      <c r="M36" s="37">
        <v>-18281.249999999985</v>
      </c>
      <c r="N36" s="37">
        <v>-3250</v>
      </c>
      <c r="O36" s="37">
        <v>11781.25</v>
      </c>
      <c r="P36" s="37">
        <v>26812.5</v>
      </c>
      <c r="Q36" s="37">
        <v>41843.75</v>
      </c>
      <c r="R36" s="37">
        <v>56875</v>
      </c>
      <c r="S36" s="37">
        <v>71906.25</v>
      </c>
    </row>
    <row r="37" spans="2:19" x14ac:dyDescent="0.25">
      <c r="K37" s="37">
        <v>350000</v>
      </c>
      <c r="L37" s="37">
        <v>-35875</v>
      </c>
      <c r="M37" s="37">
        <v>-19687.499999999985</v>
      </c>
      <c r="N37" s="37">
        <v>-3500</v>
      </c>
      <c r="O37" s="37">
        <v>12687.5</v>
      </c>
      <c r="P37" s="37">
        <v>28875</v>
      </c>
      <c r="Q37" s="37">
        <v>45062.5</v>
      </c>
      <c r="R37" s="37">
        <v>61250</v>
      </c>
      <c r="S37" s="37">
        <v>77437.5</v>
      </c>
    </row>
    <row r="38" spans="2:19" x14ac:dyDescent="0.25">
      <c r="K38" s="37">
        <v>375000</v>
      </c>
      <c r="L38" s="37">
        <v>-38437.5</v>
      </c>
      <c r="M38" s="37">
        <v>-21093.749999999985</v>
      </c>
      <c r="N38" s="37">
        <v>-3750</v>
      </c>
      <c r="O38" s="37">
        <v>13593.75</v>
      </c>
      <c r="P38" s="37">
        <v>30937.5</v>
      </c>
      <c r="Q38" s="37">
        <v>48281.25</v>
      </c>
      <c r="R38" s="37">
        <v>65625</v>
      </c>
      <c r="S38" s="37">
        <v>82968.75</v>
      </c>
    </row>
    <row r="39" spans="2:19" x14ac:dyDescent="0.25">
      <c r="K39" s="37">
        <v>400000</v>
      </c>
      <c r="L39" s="37">
        <v>-41000</v>
      </c>
      <c r="M39" s="37">
        <v>-22499.999999999985</v>
      </c>
      <c r="N39" s="37">
        <v>-4000</v>
      </c>
      <c r="O39" s="37">
        <v>14500</v>
      </c>
      <c r="P39" s="37">
        <v>33000</v>
      </c>
      <c r="Q39" s="37">
        <v>51500</v>
      </c>
      <c r="R39" s="37">
        <v>70000</v>
      </c>
      <c r="S39" s="37">
        <v>88500</v>
      </c>
    </row>
    <row r="40" spans="2:19" x14ac:dyDescent="0.25">
      <c r="K40" s="37">
        <v>425000</v>
      </c>
      <c r="L40" s="37">
        <v>-43562.5</v>
      </c>
      <c r="M40" s="37">
        <v>-23906.249999999971</v>
      </c>
      <c r="N40" s="37">
        <v>-4250</v>
      </c>
      <c r="O40" s="37">
        <v>15406.25</v>
      </c>
      <c r="P40" s="37">
        <v>35062.5</v>
      </c>
      <c r="Q40" s="37">
        <v>54718.75</v>
      </c>
      <c r="R40" s="37">
        <v>74375</v>
      </c>
      <c r="S40" s="37">
        <v>94031.25</v>
      </c>
    </row>
    <row r="41" spans="2:19" x14ac:dyDescent="0.25">
      <c r="K41" s="37">
        <v>450000</v>
      </c>
      <c r="L41" s="37">
        <v>-46125</v>
      </c>
      <c r="M41" s="37">
        <v>-25312.499999999971</v>
      </c>
      <c r="N41" s="37">
        <v>-4500</v>
      </c>
      <c r="O41" s="37">
        <v>16312.5</v>
      </c>
      <c r="P41" s="37">
        <v>37125</v>
      </c>
      <c r="Q41" s="37">
        <v>57937.5</v>
      </c>
      <c r="R41" s="37">
        <v>78750</v>
      </c>
      <c r="S41" s="37">
        <v>99562.5</v>
      </c>
    </row>
    <row r="42" spans="2:19" x14ac:dyDescent="0.25">
      <c r="K42" s="37">
        <v>475000</v>
      </c>
      <c r="L42" s="37">
        <v>-48687.5</v>
      </c>
      <c r="M42" s="37">
        <v>-26718.75</v>
      </c>
      <c r="N42" s="37">
        <v>-4750</v>
      </c>
      <c r="O42" s="37">
        <v>17218.75</v>
      </c>
      <c r="P42" s="37">
        <v>39187.5</v>
      </c>
      <c r="Q42" s="37">
        <v>61156.25</v>
      </c>
      <c r="R42" s="37">
        <v>83125</v>
      </c>
      <c r="S42" s="37">
        <v>105093.75</v>
      </c>
    </row>
    <row r="43" spans="2:19" x14ac:dyDescent="0.25">
      <c r="K43" s="37">
        <v>500000</v>
      </c>
      <c r="L43" s="37">
        <v>-51250</v>
      </c>
      <c r="M43" s="37">
        <v>-28125</v>
      </c>
      <c r="N43" s="37">
        <v>-5000</v>
      </c>
      <c r="O43" s="37">
        <v>18125</v>
      </c>
      <c r="P43" s="37">
        <v>41250</v>
      </c>
      <c r="Q43" s="37">
        <v>64375</v>
      </c>
      <c r="R43" s="37">
        <v>87500</v>
      </c>
      <c r="S43" s="37">
        <v>110625</v>
      </c>
    </row>
    <row r="44" spans="2:19" x14ac:dyDescent="0.25">
      <c r="K44" s="36"/>
      <c r="L44" s="36"/>
      <c r="M44" s="36"/>
      <c r="N44" s="36"/>
      <c r="O44" s="36"/>
      <c r="P44" s="36"/>
      <c r="Q44" s="36"/>
      <c r="R44" s="36"/>
      <c r="S44" s="36"/>
    </row>
    <row r="45" spans="2:19" ht="18.75" x14ac:dyDescent="0.3">
      <c r="B45" s="21"/>
      <c r="K45" s="40" t="s">
        <v>54</v>
      </c>
      <c r="L45" s="36"/>
      <c r="M45" s="36"/>
      <c r="N45" s="36"/>
      <c r="O45" s="36"/>
      <c r="P45" s="36"/>
      <c r="Q45" s="36"/>
      <c r="R45" s="36"/>
      <c r="S45" s="36"/>
    </row>
    <row r="46" spans="2:19" x14ac:dyDescent="0.25">
      <c r="K46" s="36"/>
      <c r="L46" s="36"/>
      <c r="M46" s="36"/>
      <c r="N46" s="36"/>
      <c r="O46" s="36"/>
      <c r="P46" s="36"/>
      <c r="Q46" s="36"/>
      <c r="R46" s="36"/>
      <c r="S46" s="36"/>
    </row>
  </sheetData>
  <mergeCells count="2">
    <mergeCell ref="B12:C12"/>
    <mergeCell ref="B16:C16"/>
  </mergeCells>
  <conditionalFormatting sqref="L27:S43">
    <cfRule type="cellIs" dxfId="0" priority="1" operator="greater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4D4A-D852-43AC-80D7-A695AD47D4C8}">
  <dimension ref="A1:Q16"/>
  <sheetViews>
    <sheetView topLeftCell="A45" workbookViewId="0">
      <selection activeCell="L23" sqref="L23"/>
    </sheetView>
  </sheetViews>
  <sheetFormatPr baseColWidth="10" defaultRowHeight="15" x14ac:dyDescent="0.25"/>
  <cols>
    <col min="2" max="2" width="16.5703125" customWidth="1"/>
    <col min="4" max="4" width="16.42578125" customWidth="1"/>
    <col min="7" max="7" width="27.7109375" customWidth="1"/>
  </cols>
  <sheetData>
    <row r="1" spans="1:17" s="8" customFormat="1" ht="57" customHeight="1" x14ac:dyDescent="0.9">
      <c r="A1" s="7" t="s">
        <v>55</v>
      </c>
      <c r="M1" s="6"/>
      <c r="N1" s="6"/>
      <c r="O1" s="6"/>
      <c r="P1" s="6"/>
      <c r="Q1" s="6"/>
    </row>
    <row r="3" spans="1:17" ht="23.25" x14ac:dyDescent="0.35">
      <c r="A3" s="41" t="s">
        <v>56</v>
      </c>
      <c r="B3" s="42"/>
      <c r="C3" s="42"/>
      <c r="D3" s="42"/>
      <c r="E3" s="42"/>
      <c r="G3" s="43" t="s">
        <v>69</v>
      </c>
      <c r="H3" s="43"/>
      <c r="I3" s="43"/>
      <c r="J3" s="43"/>
      <c r="K3" s="43"/>
      <c r="L3" s="43"/>
    </row>
    <row r="4" spans="1:17" ht="18.75" x14ac:dyDescent="0.3">
      <c r="G4" s="44"/>
      <c r="H4" s="44"/>
      <c r="I4" s="44"/>
      <c r="J4" s="44"/>
      <c r="K4" s="45" t="s">
        <v>70</v>
      </c>
      <c r="L4" s="44">
        <v>65000</v>
      </c>
    </row>
    <row r="5" spans="1:17" ht="18.75" x14ac:dyDescent="0.3">
      <c r="A5" s="3" t="s">
        <v>57</v>
      </c>
      <c r="B5" s="3" t="s">
        <v>74</v>
      </c>
      <c r="C5" s="3" t="s">
        <v>52</v>
      </c>
      <c r="D5" s="3" t="s">
        <v>75</v>
      </c>
      <c r="E5" s="3" t="s">
        <v>58</v>
      </c>
      <c r="G5" s="44"/>
      <c r="H5" s="44"/>
      <c r="I5" s="44"/>
      <c r="J5" s="44"/>
      <c r="K5" s="45" t="s">
        <v>71</v>
      </c>
      <c r="L5" s="44">
        <v>1000</v>
      </c>
    </row>
    <row r="6" spans="1:17" ht="18.75" x14ac:dyDescent="0.3">
      <c r="A6" t="s">
        <v>59</v>
      </c>
      <c r="B6">
        <v>4500</v>
      </c>
      <c r="C6">
        <v>1600</v>
      </c>
      <c r="D6" s="2">
        <v>1000</v>
      </c>
      <c r="E6">
        <f>SUM(B6:D6)</f>
        <v>7100</v>
      </c>
      <c r="G6" s="44"/>
      <c r="H6" s="44"/>
      <c r="I6" s="44"/>
      <c r="J6" s="44"/>
      <c r="K6" s="45" t="s">
        <v>72</v>
      </c>
      <c r="L6" s="44">
        <v>9500</v>
      </c>
    </row>
    <row r="7" spans="1:17" ht="18.75" x14ac:dyDescent="0.3">
      <c r="A7" t="s">
        <v>60</v>
      </c>
      <c r="B7">
        <v>5000</v>
      </c>
      <c r="C7">
        <v>1600</v>
      </c>
      <c r="D7" s="2">
        <v>500</v>
      </c>
      <c r="E7">
        <f t="shared" ref="E7:E15" si="0">SUM(B7:D7)</f>
        <v>7100</v>
      </c>
      <c r="G7" s="44"/>
      <c r="H7" s="44"/>
      <c r="I7" s="44"/>
      <c r="J7" s="44"/>
      <c r="K7" s="45" t="s">
        <v>73</v>
      </c>
      <c r="L7" s="44">
        <v>500</v>
      </c>
    </row>
    <row r="8" spans="1:17" x14ac:dyDescent="0.25">
      <c r="A8" t="s">
        <v>61</v>
      </c>
      <c r="B8">
        <v>6500</v>
      </c>
      <c r="C8">
        <v>1600</v>
      </c>
      <c r="D8" s="2">
        <v>500</v>
      </c>
      <c r="E8">
        <f t="shared" si="0"/>
        <v>8600</v>
      </c>
    </row>
    <row r="9" spans="1:17" x14ac:dyDescent="0.25">
      <c r="A9" t="s">
        <v>62</v>
      </c>
      <c r="B9">
        <v>4000</v>
      </c>
      <c r="C9">
        <v>1600</v>
      </c>
      <c r="D9" s="2">
        <v>500</v>
      </c>
      <c r="E9">
        <f t="shared" si="0"/>
        <v>6100</v>
      </c>
    </row>
    <row r="10" spans="1:17" x14ac:dyDescent="0.25">
      <c r="A10" t="s">
        <v>63</v>
      </c>
      <c r="B10">
        <v>4200</v>
      </c>
      <c r="C10">
        <v>1600</v>
      </c>
      <c r="D10" s="2">
        <v>1000</v>
      </c>
      <c r="E10">
        <f t="shared" si="0"/>
        <v>6800</v>
      </c>
    </row>
    <row r="11" spans="1:17" x14ac:dyDescent="0.25">
      <c r="A11" t="s">
        <v>64</v>
      </c>
      <c r="B11">
        <v>4500</v>
      </c>
      <c r="C11">
        <v>1600</v>
      </c>
      <c r="D11" s="2">
        <v>900</v>
      </c>
      <c r="E11">
        <f t="shared" si="0"/>
        <v>7000</v>
      </c>
    </row>
    <row r="12" spans="1:17" x14ac:dyDescent="0.25">
      <c r="A12" t="s">
        <v>65</v>
      </c>
      <c r="B12">
        <v>4000</v>
      </c>
      <c r="C12">
        <v>1600</v>
      </c>
      <c r="D12" s="2">
        <v>100</v>
      </c>
      <c r="E12">
        <f t="shared" si="0"/>
        <v>5700</v>
      </c>
    </row>
    <row r="13" spans="1:17" x14ac:dyDescent="0.25">
      <c r="A13" t="s">
        <v>66</v>
      </c>
      <c r="B13">
        <v>3500</v>
      </c>
      <c r="C13">
        <v>1600</v>
      </c>
      <c r="D13" s="2">
        <v>100</v>
      </c>
      <c r="E13">
        <f t="shared" si="0"/>
        <v>5200</v>
      </c>
    </row>
    <row r="14" spans="1:17" x14ac:dyDescent="0.25">
      <c r="A14" t="s">
        <v>67</v>
      </c>
      <c r="B14">
        <v>3800</v>
      </c>
      <c r="C14">
        <v>1600</v>
      </c>
      <c r="D14" s="2">
        <v>100</v>
      </c>
      <c r="E14">
        <f t="shared" si="0"/>
        <v>5500</v>
      </c>
    </row>
    <row r="15" spans="1:17" x14ac:dyDescent="0.25">
      <c r="A15" t="s">
        <v>68</v>
      </c>
      <c r="B15">
        <v>4200</v>
      </c>
      <c r="C15">
        <v>1600</v>
      </c>
      <c r="D15" s="2">
        <v>100</v>
      </c>
      <c r="E15">
        <f t="shared" si="0"/>
        <v>5900</v>
      </c>
    </row>
    <row r="16" spans="1:17" x14ac:dyDescent="0.25">
      <c r="D16" s="1" t="s">
        <v>0</v>
      </c>
      <c r="E16" s="4">
        <f>SUM(E6:E15)</f>
        <v>65000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D4B4-9CA5-4382-80D5-638D147B38BD}">
  <dimension ref="A1:Q33"/>
  <sheetViews>
    <sheetView topLeftCell="A38" workbookViewId="0">
      <selection activeCell="C33" sqref="C33"/>
    </sheetView>
  </sheetViews>
  <sheetFormatPr baseColWidth="10" defaultRowHeight="15" x14ac:dyDescent="0.25"/>
  <cols>
    <col min="3" max="3" width="11.7109375" bestFit="1" customWidth="1"/>
    <col min="6" max="6" width="17.85546875" customWidth="1"/>
    <col min="8" max="8" width="23.42578125" customWidth="1"/>
  </cols>
  <sheetData>
    <row r="1" spans="1:17" s="8" customFormat="1" ht="57" customHeight="1" x14ac:dyDescent="0.9">
      <c r="A1" s="7" t="s">
        <v>76</v>
      </c>
      <c r="M1" s="6"/>
      <c r="N1" s="6"/>
      <c r="O1" s="6"/>
      <c r="P1" s="6"/>
      <c r="Q1" s="6"/>
    </row>
    <row r="10" spans="1:17" ht="15.75" x14ac:dyDescent="0.25">
      <c r="A10" s="112" t="s">
        <v>77</v>
      </c>
      <c r="B10" s="113"/>
      <c r="C10" s="113"/>
      <c r="D10" s="114"/>
    </row>
    <row r="11" spans="1:17" ht="18.75" x14ac:dyDescent="0.3">
      <c r="A11" s="46"/>
      <c r="B11" s="47" t="s">
        <v>78</v>
      </c>
      <c r="C11" s="47" t="s">
        <v>79</v>
      </c>
      <c r="D11" s="48" t="s">
        <v>80</v>
      </c>
      <c r="F11" s="118" t="s">
        <v>69</v>
      </c>
      <c r="G11" s="119"/>
      <c r="H11" s="119"/>
      <c r="I11" s="119"/>
      <c r="J11" s="119"/>
      <c r="K11" s="119"/>
      <c r="L11" s="120"/>
    </row>
    <row r="12" spans="1:17" ht="18.75" x14ac:dyDescent="0.3">
      <c r="A12" s="49" t="s">
        <v>81</v>
      </c>
      <c r="B12" s="77">
        <v>58</v>
      </c>
      <c r="C12" s="77">
        <v>47</v>
      </c>
      <c r="D12" s="77">
        <v>108</v>
      </c>
      <c r="F12" s="65" t="s">
        <v>95</v>
      </c>
      <c r="G12" s="66"/>
      <c r="H12" s="67"/>
      <c r="I12" s="67"/>
      <c r="J12" s="67"/>
      <c r="K12" s="67"/>
      <c r="L12" s="68"/>
    </row>
    <row r="13" spans="1:17" ht="18.75" x14ac:dyDescent="0.3">
      <c r="A13" s="49" t="s">
        <v>82</v>
      </c>
      <c r="B13" s="77">
        <v>87</v>
      </c>
      <c r="C13" s="77">
        <v>46</v>
      </c>
      <c r="D13" s="77">
        <v>100</v>
      </c>
      <c r="F13" s="69" t="s">
        <v>96</v>
      </c>
      <c r="G13" s="70"/>
      <c r="H13" s="71"/>
      <c r="I13" s="71"/>
      <c r="J13" s="71"/>
      <c r="K13" s="71"/>
      <c r="L13" s="72"/>
    </row>
    <row r="14" spans="1:17" ht="18.75" x14ac:dyDescent="0.3">
      <c r="A14" s="49" t="s">
        <v>80</v>
      </c>
      <c r="B14" s="77">
        <v>121</v>
      </c>
      <c r="C14" s="77">
        <v>30</v>
      </c>
      <c r="D14" s="77">
        <v>57</v>
      </c>
      <c r="F14" s="73" t="s">
        <v>97</v>
      </c>
      <c r="G14" s="74"/>
      <c r="H14" s="75"/>
      <c r="I14" s="75"/>
      <c r="J14" s="75"/>
      <c r="K14" s="75"/>
      <c r="L14" s="76"/>
    </row>
    <row r="15" spans="1:17" x14ac:dyDescent="0.25">
      <c r="A15" s="49" t="s">
        <v>98</v>
      </c>
      <c r="B15" s="77">
        <v>149</v>
      </c>
      <c r="C15" s="77">
        <v>66</v>
      </c>
      <c r="D15" s="77">
        <v>83</v>
      </c>
    </row>
    <row r="16" spans="1:17" x14ac:dyDescent="0.25">
      <c r="A16" s="49" t="s">
        <v>99</v>
      </c>
      <c r="B16" s="77">
        <v>62</v>
      </c>
      <c r="C16" s="77">
        <v>115</v>
      </c>
      <c r="D16" s="77">
        <v>164</v>
      </c>
    </row>
    <row r="17" spans="1:6" x14ac:dyDescent="0.25">
      <c r="A17" s="50" t="s">
        <v>83</v>
      </c>
      <c r="B17" s="77">
        <v>128</v>
      </c>
      <c r="C17" s="77">
        <v>28</v>
      </c>
      <c r="D17" s="77">
        <v>38</v>
      </c>
    </row>
    <row r="19" spans="1:6" x14ac:dyDescent="0.25">
      <c r="A19" s="83"/>
      <c r="B19" s="84" t="s">
        <v>84</v>
      </c>
      <c r="C19" s="85" t="s">
        <v>85</v>
      </c>
      <c r="D19" s="86"/>
      <c r="E19" s="87"/>
      <c r="F19" s="88" t="s">
        <v>86</v>
      </c>
    </row>
    <row r="20" spans="1:6" x14ac:dyDescent="0.25">
      <c r="A20" s="51" t="s">
        <v>87</v>
      </c>
      <c r="B20" s="52" t="s">
        <v>88</v>
      </c>
      <c r="C20" s="51" t="s">
        <v>78</v>
      </c>
      <c r="D20" s="51" t="s">
        <v>79</v>
      </c>
      <c r="E20" s="51" t="s">
        <v>80</v>
      </c>
      <c r="F20" s="53" t="s">
        <v>89</v>
      </c>
    </row>
    <row r="21" spans="1:6" x14ac:dyDescent="0.25">
      <c r="A21" s="54" t="s">
        <v>81</v>
      </c>
      <c r="B21" s="78">
        <v>150</v>
      </c>
      <c r="C21" s="79">
        <v>150</v>
      </c>
      <c r="D21" s="79">
        <v>0</v>
      </c>
      <c r="E21" s="79">
        <v>0</v>
      </c>
      <c r="F21" s="78">
        <f t="shared" ref="F21:F26" si="0">SUM(C21:E21)</f>
        <v>150</v>
      </c>
    </row>
    <row r="22" spans="1:6" x14ac:dyDescent="0.25">
      <c r="A22" s="54" t="s">
        <v>82</v>
      </c>
      <c r="B22" s="78">
        <v>225</v>
      </c>
      <c r="C22" s="79">
        <v>0</v>
      </c>
      <c r="D22" s="79">
        <v>225.00000000000006</v>
      </c>
      <c r="E22" s="79">
        <v>0</v>
      </c>
      <c r="F22" s="78">
        <f t="shared" si="0"/>
        <v>225.00000000000006</v>
      </c>
    </row>
    <row r="23" spans="1:6" x14ac:dyDescent="0.25">
      <c r="A23" s="54" t="s">
        <v>80</v>
      </c>
      <c r="B23" s="78">
        <v>100</v>
      </c>
      <c r="C23" s="79">
        <v>0</v>
      </c>
      <c r="D23" s="79">
        <v>100.00000000000004</v>
      </c>
      <c r="E23" s="79">
        <v>0</v>
      </c>
      <c r="F23" s="78">
        <f t="shared" si="0"/>
        <v>100.00000000000004</v>
      </c>
    </row>
    <row r="24" spans="1:6" x14ac:dyDescent="0.25">
      <c r="A24" s="54" t="s">
        <v>98</v>
      </c>
      <c r="B24" s="78">
        <v>250</v>
      </c>
      <c r="C24" s="79">
        <v>0</v>
      </c>
      <c r="D24" s="79">
        <v>24.999999999999968</v>
      </c>
      <c r="E24" s="79">
        <v>225.00000000000787</v>
      </c>
      <c r="F24" s="78">
        <f t="shared" si="0"/>
        <v>250.00000000000784</v>
      </c>
    </row>
    <row r="25" spans="1:6" x14ac:dyDescent="0.25">
      <c r="A25" s="54" t="s">
        <v>99</v>
      </c>
      <c r="B25" s="78">
        <v>120</v>
      </c>
      <c r="C25" s="79">
        <v>119.99999999999997</v>
      </c>
      <c r="D25" s="79">
        <v>0</v>
      </c>
      <c r="E25" s="79">
        <v>0</v>
      </c>
      <c r="F25" s="78">
        <f t="shared" si="0"/>
        <v>119.99999999999997</v>
      </c>
    </row>
    <row r="26" spans="1:6" x14ac:dyDescent="0.25">
      <c r="A26" s="55" t="s">
        <v>83</v>
      </c>
      <c r="B26" s="78">
        <v>150</v>
      </c>
      <c r="C26" s="79">
        <v>0</v>
      </c>
      <c r="D26" s="79">
        <v>0</v>
      </c>
      <c r="E26" s="79">
        <v>150.00000000000003</v>
      </c>
      <c r="F26" s="78">
        <f t="shared" si="0"/>
        <v>150.00000000000003</v>
      </c>
    </row>
    <row r="27" spans="1:6" x14ac:dyDescent="0.25">
      <c r="A27" s="56" t="s">
        <v>90</v>
      </c>
      <c r="B27" s="57">
        <f>SUM(B21:B26)</f>
        <v>995</v>
      </c>
      <c r="C27" s="80">
        <f>SUM(C21:C26)</f>
        <v>270</v>
      </c>
      <c r="D27" s="80">
        <f t="shared" ref="D27:E27" si="1">SUM(D21:D26)</f>
        <v>350.00000000000006</v>
      </c>
      <c r="E27" s="80">
        <f t="shared" si="1"/>
        <v>375.0000000000079</v>
      </c>
      <c r="F27" s="64">
        <f>SUM(F21:F26)</f>
        <v>995.00000000000796</v>
      </c>
    </row>
    <row r="29" spans="1:6" ht="15.75" x14ac:dyDescent="0.25">
      <c r="A29" s="115" t="s">
        <v>91</v>
      </c>
      <c r="B29" s="116"/>
      <c r="C29" s="116"/>
      <c r="D29" s="116"/>
      <c r="E29" s="116"/>
      <c r="F29" s="117"/>
    </row>
    <row r="30" spans="1:6" ht="15" customHeight="1" x14ac:dyDescent="0.25">
      <c r="A30" s="121" t="s">
        <v>92</v>
      </c>
      <c r="B30" s="122"/>
      <c r="C30" s="81">
        <v>400</v>
      </c>
      <c r="D30" s="81">
        <v>350</v>
      </c>
      <c r="E30" s="81">
        <v>500</v>
      </c>
      <c r="F30" s="15"/>
    </row>
    <row r="31" spans="1:6" x14ac:dyDescent="0.25">
      <c r="A31" s="121" t="s">
        <v>93</v>
      </c>
      <c r="B31" s="122"/>
      <c r="C31" s="82">
        <f>C30-C27</f>
        <v>130</v>
      </c>
      <c r="D31" s="82">
        <f>D30-D27</f>
        <v>0</v>
      </c>
      <c r="E31" s="82">
        <f>E30-E27</f>
        <v>124.9999999999921</v>
      </c>
      <c r="F31" s="15"/>
    </row>
    <row r="32" spans="1:6" x14ac:dyDescent="0.25">
      <c r="B32" s="58"/>
      <c r="C32" s="59"/>
      <c r="D32" s="59"/>
      <c r="E32" s="59"/>
    </row>
    <row r="33" spans="1:6" ht="23.25" x14ac:dyDescent="0.25">
      <c r="A33" s="60" t="s">
        <v>94</v>
      </c>
      <c r="B33" s="61"/>
      <c r="C33" s="62">
        <f>SUMPRODUCT(B12:B17,C21:C26)</f>
        <v>16139.999999999998</v>
      </c>
      <c r="D33" s="62">
        <f>SUMPRODUCT(C12:C17,D21:D26)</f>
        <v>15000.000000000002</v>
      </c>
      <c r="E33" s="62">
        <f>SUMPRODUCT(D12:D17,E21:E26)</f>
        <v>24375.000000000655</v>
      </c>
      <c r="F33" s="63">
        <f>SUM(C33:E33)</f>
        <v>55515.000000000655</v>
      </c>
    </row>
  </sheetData>
  <mergeCells count="5">
    <mergeCell ref="A10:D10"/>
    <mergeCell ref="A29:F29"/>
    <mergeCell ref="F11:L11"/>
    <mergeCell ref="A31:B31"/>
    <mergeCell ref="A30:B30"/>
  </mergeCells>
  <pageMargins left="0.7" right="0.7" top="0.75" bottom="0.75" header="0.3" footer="0.3"/>
  <ignoredErrors>
    <ignoredError sqref="F21:F26" formulaRange="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F4FFCC-981F-41A8-9550-4C05D30D1E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526B43-DCF2-49B7-B2DA-97DE862B1F96}">
  <ds:schemaRefs>
    <ds:schemaRef ds:uri="http://schemas.microsoft.com/sharepoint/v3/contenttype/forms"/>
  </ds:schemaRefs>
</ds:datastoreItem>
</file>

<file path=customXml/itemProps3.xml><?xml version="1.0" encoding="utf-8"?>
<ds:datastoreItem xmlns:ds="http://schemas.openxmlformats.org/officeDocument/2006/customXml" ds:itemID="{7717CC5D-E0FA-49B0-B584-00D7B6FC86CB}">
  <ds:schemaRefs>
    <ds:schemaRef ds:uri="http://purl.org/dc/dcmitype/"/>
    <ds:schemaRef ds:uri="http://purl.org/dc/terms/"/>
    <ds:schemaRef ds:uri="037ed5ce-9e80-41f7-81a5-4f297c26d5d9"/>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Synthèse de scénarios</vt:lpstr>
      <vt:lpstr>Scénarios</vt:lpstr>
      <vt:lpstr>Valeur cible</vt:lpstr>
      <vt:lpstr>Table de données</vt:lpstr>
      <vt:lpstr>Table de données (2 vars.)</vt:lpstr>
      <vt:lpstr>SOLVEUR 1</vt:lpstr>
      <vt:lpstr>SOLVEUR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Ludovic Moreau</dc:creator>
  <cp:lastModifiedBy>Ludovic Moreau, manager</cp:lastModifiedBy>
  <dcterms:created xsi:type="dcterms:W3CDTF">2023-08-31T22:35:25Z</dcterms:created>
  <dcterms:modified xsi:type="dcterms:W3CDTF">2026-03-11T22:05:22Z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70500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ies>
</file>