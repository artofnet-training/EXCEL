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lmoreau.sharepoint.com/sites/FORMATIONS2/EXCEL/EXCEL MODULES/REFRESH BASE/"/>
    </mc:Choice>
  </mc:AlternateContent>
  <xr:revisionPtr revIDLastSave="2909" documentId="8_{06F85BB0-5119-4DD0-971C-AD5DFA6F66B8}" xr6:coauthVersionLast="47" xr6:coauthVersionMax="47" xr10:uidLastSave="{2D935599-0714-40A6-A0DC-FE87AC4A45C6}"/>
  <bookViews>
    <workbookView xWindow="-120" yWindow="-120" windowWidth="29040" windowHeight="16440" tabRatio="763" activeTab="4" xr2:uid="{B29C7BD2-3CA1-46D2-B21A-A03890AECBE1}"/>
  </bookViews>
  <sheets>
    <sheet name="1. Lignes-cols" sheetId="8" r:id="rId1"/>
    <sheet name="2. Cellules" sheetId="9" r:id="rId2"/>
    <sheet name="3. Mise en forme" sheetId="10" r:id="rId3"/>
    <sheet name="4. Sélection de cellules" sheetId="16" r:id="rId4"/>
    <sheet name="5. Insertion auto" sheetId="12" r:id="rId5"/>
    <sheet name="6. Formule-intro" sheetId="11" r:id="rId6"/>
    <sheet name="I1. Réf rel. et abs." sheetId="22" r:id="rId7"/>
    <sheet name="7. Noms définis" sheetId="13" r:id="rId8"/>
    <sheet name="8. Feuilles" sheetId="15" r:id="rId9"/>
    <sheet name="9. TRI" sheetId="17" r:id="rId10"/>
    <sheet name="10. FILTRE" sheetId="18" r:id="rId11"/>
    <sheet name="11. RECHERCHE" sheetId="19" r:id="rId12"/>
    <sheet name="12. TABLEAU + GRAPHE" sheetId="3" r:id="rId13"/>
    <sheet name="Variables" sheetId="2" state="hidden" r:id="rId14"/>
    <sheet name="TBL+XLOOKUP" sheetId="4" state="hidden" r:id="rId15"/>
  </sheets>
  <definedNames>
    <definedName name="_xlnm._FilterDatabase" localSheetId="10" hidden="1">'10. FILTRE'!$D$3:$I$143</definedName>
    <definedName name="_xlnm._FilterDatabase" localSheetId="11" hidden="1">'11. RECHERCHE'!$D$3:$I$143</definedName>
    <definedName name="_xlnm._FilterDatabase" localSheetId="12" hidden="1">'12. TABLEAU + GRAPHE'!$A$6:$F$29</definedName>
    <definedName name="_xlnm._FilterDatabase" localSheetId="5" hidden="1">'6. Formule-intro'!$D$6:$J$6</definedName>
    <definedName name="_xlnm._FilterDatabase" localSheetId="7" hidden="1">'7. Noms définis'!$D$6:$J$6</definedName>
    <definedName name="_xlnm._FilterDatabase" localSheetId="6" hidden="1">'I1. Réf rel. et abs.'!$G$5:$N$26</definedName>
    <definedName name="CH">Variables!$H$3</definedName>
    <definedName name="D">Variables!$H$6</definedName>
    <definedName name="FR">Variables!$H$5</definedName>
    <definedName name="GB">Variables!$H$8</definedName>
    <definedName name="I3liste">#REF!</definedName>
    <definedName name="IT">Variables!$H$7</definedName>
    <definedName name="liste_cantons">Variables!$B$11:$B$15</definedName>
    <definedName name="tax10pc">Variables!$B$4</definedName>
    <definedName name="tax12pc">Variables!$B$6</definedName>
    <definedName name="TVACH">Variables!$H$3</definedName>
    <definedName name="US">Variables!$H$4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3" l="1"/>
  <c r="K57" i="22"/>
  <c r="J57" i="22"/>
  <c r="Q57" i="22" s="1"/>
  <c r="Q56" i="22"/>
  <c r="P56" i="22"/>
  <c r="O56" i="22"/>
  <c r="N56" i="22"/>
  <c r="J56" i="22"/>
  <c r="M56" i="22" s="1"/>
  <c r="O55" i="22"/>
  <c r="M55" i="22"/>
  <c r="L55" i="22"/>
  <c r="K55" i="22"/>
  <c r="J55" i="22"/>
  <c r="Q55" i="22" s="1"/>
  <c r="K54" i="22"/>
  <c r="J54" i="22"/>
  <c r="Q54" i="22" s="1"/>
  <c r="Q53" i="22"/>
  <c r="P53" i="22"/>
  <c r="O53" i="22"/>
  <c r="N53" i="22"/>
  <c r="J53" i="22"/>
  <c r="M53" i="22" s="1"/>
  <c r="O52" i="22"/>
  <c r="M52" i="22"/>
  <c r="L52" i="22"/>
  <c r="K52" i="22"/>
  <c r="J52" i="22"/>
  <c r="Q52" i="22" s="1"/>
  <c r="K51" i="22"/>
  <c r="J51" i="22"/>
  <c r="Q51" i="22" s="1"/>
  <c r="Q50" i="22"/>
  <c r="P50" i="22"/>
  <c r="O50" i="22"/>
  <c r="N50" i="22"/>
  <c r="J50" i="22"/>
  <c r="M50" i="22" s="1"/>
  <c r="O49" i="22"/>
  <c r="M49" i="22"/>
  <c r="L49" i="22"/>
  <c r="K49" i="22"/>
  <c r="J49" i="22"/>
  <c r="Q49" i="22" s="1"/>
  <c r="K48" i="22"/>
  <c r="J48" i="22"/>
  <c r="Q48" i="22" s="1"/>
  <c r="Q47" i="22"/>
  <c r="P47" i="22"/>
  <c r="O47" i="22"/>
  <c r="N47" i="22"/>
  <c r="J47" i="22"/>
  <c r="M47" i="22" s="1"/>
  <c r="O46" i="22"/>
  <c r="M46" i="22"/>
  <c r="L46" i="22"/>
  <c r="K46" i="22"/>
  <c r="J46" i="22"/>
  <c r="Q46" i="22" s="1"/>
  <c r="K45" i="22"/>
  <c r="J45" i="22"/>
  <c r="Q45" i="22" s="1"/>
  <c r="Q44" i="22"/>
  <c r="P44" i="22"/>
  <c r="O44" i="22"/>
  <c r="N44" i="22"/>
  <c r="J44" i="22"/>
  <c r="M44" i="22" s="1"/>
  <c r="O43" i="22"/>
  <c r="M43" i="22"/>
  <c r="L43" i="22"/>
  <c r="K43" i="22"/>
  <c r="J43" i="22"/>
  <c r="Q43" i="22" s="1"/>
  <c r="K42" i="22"/>
  <c r="J42" i="22"/>
  <c r="Q42" i="22" s="1"/>
  <c r="Q41" i="22"/>
  <c r="P41" i="22"/>
  <c r="O41" i="22"/>
  <c r="N41" i="22"/>
  <c r="J41" i="22"/>
  <c r="M41" i="22" s="1"/>
  <c r="O40" i="22"/>
  <c r="M40" i="22"/>
  <c r="L40" i="22"/>
  <c r="K40" i="22"/>
  <c r="J40" i="22"/>
  <c r="Q40" i="22" s="1"/>
  <c r="K39" i="22"/>
  <c r="J39" i="22"/>
  <c r="Q39" i="22" s="1"/>
  <c r="Q38" i="22"/>
  <c r="P38" i="22"/>
  <c r="O38" i="22"/>
  <c r="N38" i="22"/>
  <c r="J38" i="22"/>
  <c r="M38" i="22" s="1"/>
  <c r="O37" i="22"/>
  <c r="M37" i="22"/>
  <c r="L37" i="22"/>
  <c r="K37" i="22"/>
  <c r="J37" i="22"/>
  <c r="Q37" i="22" s="1"/>
  <c r="A1" i="22"/>
  <c r="A1" i="15"/>
  <c r="A1" i="17"/>
  <c r="A1" i="18"/>
  <c r="A1" i="19"/>
  <c r="A1" i="13"/>
  <c r="A1" i="9"/>
  <c r="A1" i="10"/>
  <c r="A1" i="16"/>
  <c r="A1" i="12"/>
  <c r="A1" i="8"/>
  <c r="A1" i="11"/>
  <c r="E20" i="3"/>
  <c r="F20" i="3" s="1"/>
  <c r="E19" i="3"/>
  <c r="F19" i="3" s="1"/>
  <c r="E18" i="3"/>
  <c r="F18" i="3" s="1"/>
  <c r="E17" i="3"/>
  <c r="F17" i="3" s="1"/>
  <c r="E16" i="3"/>
  <c r="F16" i="3" s="1"/>
  <c r="E15" i="3"/>
  <c r="F15" i="3" s="1"/>
  <c r="E14" i="3"/>
  <c r="F14" i="3" s="1"/>
  <c r="E13" i="3"/>
  <c r="F13" i="3" s="1"/>
  <c r="E12" i="3"/>
  <c r="F12" i="3" s="1"/>
  <c r="E11" i="3"/>
  <c r="F11" i="3" s="1"/>
  <c r="E10" i="3"/>
  <c r="F10" i="3" s="1"/>
  <c r="E9" i="3"/>
  <c r="F9" i="3" s="1"/>
  <c r="E8" i="3"/>
  <c r="F8" i="3" s="1"/>
  <c r="E7" i="3"/>
  <c r="F7" i="3" s="1"/>
  <c r="J5" i="19" a="1"/>
  <c r="J5" i="19" s="1"/>
  <c r="J6" i="19" a="1"/>
  <c r="J6" i="19" s="1"/>
  <c r="J7" i="19" a="1"/>
  <c r="J7" i="19" s="1"/>
  <c r="J8" i="19" a="1"/>
  <c r="J8" i="19" s="1"/>
  <c r="J9" i="19" a="1"/>
  <c r="J9" i="19" s="1"/>
  <c r="J10" i="19" a="1"/>
  <c r="J10" i="19" s="1"/>
  <c r="J11" i="19" a="1"/>
  <c r="J11" i="19" s="1"/>
  <c r="J12" i="19" a="1"/>
  <c r="J12" i="19" s="1"/>
  <c r="J13" i="19" a="1"/>
  <c r="J13" i="19" s="1"/>
  <c r="J14" i="19" a="1"/>
  <c r="J14" i="19" s="1"/>
  <c r="J15" i="19" a="1"/>
  <c r="J15" i="19" s="1"/>
  <c r="J16" i="19" a="1"/>
  <c r="J16" i="19" s="1"/>
  <c r="J17" i="19" a="1"/>
  <c r="J17" i="19" s="1"/>
  <c r="J18" i="19" a="1"/>
  <c r="J18" i="19" s="1"/>
  <c r="J19" i="19" a="1"/>
  <c r="J19" i="19" s="1"/>
  <c r="J20" i="19" a="1"/>
  <c r="J20" i="19" s="1"/>
  <c r="J21" i="19" a="1"/>
  <c r="J21" i="19" s="1"/>
  <c r="J22" i="19" a="1"/>
  <c r="J22" i="19"/>
  <c r="J23" i="19" a="1"/>
  <c r="J23" i="19" s="1"/>
  <c r="J24" i="19" a="1"/>
  <c r="J24" i="19" s="1"/>
  <c r="J25" i="19" a="1"/>
  <c r="J25" i="19" s="1"/>
  <c r="J26" i="19" a="1"/>
  <c r="J26" i="19" s="1"/>
  <c r="J27" i="19" a="1"/>
  <c r="J27" i="19" s="1"/>
  <c r="J28" i="19" a="1"/>
  <c r="J28" i="19" s="1"/>
  <c r="J29" i="19" a="1"/>
  <c r="J29" i="19" s="1"/>
  <c r="J30" i="19" a="1"/>
  <c r="J30" i="19" s="1"/>
  <c r="J31" i="19" a="1"/>
  <c r="J31" i="19" s="1"/>
  <c r="J32" i="19" a="1"/>
  <c r="J32" i="19" s="1"/>
  <c r="J33" i="19" a="1"/>
  <c r="J33" i="19" s="1"/>
  <c r="J34" i="19" a="1"/>
  <c r="J34" i="19"/>
  <c r="J35" i="19" a="1"/>
  <c r="J35" i="19" s="1"/>
  <c r="J36" i="19" a="1"/>
  <c r="J36" i="19" s="1"/>
  <c r="J37" i="19" a="1"/>
  <c r="J37" i="19" s="1"/>
  <c r="J38" i="19" a="1"/>
  <c r="J38" i="19" s="1"/>
  <c r="J39" i="19" a="1"/>
  <c r="J39" i="19" s="1"/>
  <c r="J40" i="19" a="1"/>
  <c r="J40" i="19" s="1"/>
  <c r="J41" i="19" a="1"/>
  <c r="J41" i="19" s="1"/>
  <c r="J42" i="19" a="1"/>
  <c r="J42" i="19" s="1"/>
  <c r="J43" i="19" a="1"/>
  <c r="J43" i="19" s="1"/>
  <c r="J44" i="19" a="1"/>
  <c r="J44" i="19" s="1"/>
  <c r="J45" i="19" a="1"/>
  <c r="J45" i="19" s="1"/>
  <c r="J46" i="19" a="1"/>
  <c r="J46" i="19" s="1"/>
  <c r="J47" i="19" a="1"/>
  <c r="J47" i="19" s="1"/>
  <c r="J48" i="19" a="1"/>
  <c r="J48" i="19" s="1"/>
  <c r="J49" i="19" a="1"/>
  <c r="J49" i="19" s="1"/>
  <c r="J50" i="19" a="1"/>
  <c r="J50" i="19" s="1"/>
  <c r="J51" i="19" a="1"/>
  <c r="J51" i="19" s="1"/>
  <c r="J52" i="19" a="1"/>
  <c r="J52" i="19"/>
  <c r="J53" i="19" a="1"/>
  <c r="J53" i="19" s="1"/>
  <c r="J54" i="19" a="1"/>
  <c r="J54" i="19" s="1"/>
  <c r="J55" i="19" a="1"/>
  <c r="J55" i="19" s="1"/>
  <c r="J56" i="19" a="1"/>
  <c r="J56" i="19" s="1"/>
  <c r="J57" i="19" a="1"/>
  <c r="J57" i="19" s="1"/>
  <c r="J58" i="19" a="1"/>
  <c r="J58" i="19" s="1"/>
  <c r="J59" i="19" a="1"/>
  <c r="J59" i="19" s="1"/>
  <c r="J60" i="19" a="1"/>
  <c r="J60" i="19" s="1"/>
  <c r="J61" i="19" a="1"/>
  <c r="J61" i="19" s="1"/>
  <c r="J62" i="19" a="1"/>
  <c r="J62" i="19" s="1"/>
  <c r="J63" i="19" a="1"/>
  <c r="J63" i="19" s="1"/>
  <c r="J64" i="19" a="1"/>
  <c r="J64" i="19"/>
  <c r="J65" i="19" a="1"/>
  <c r="J65" i="19" s="1"/>
  <c r="J66" i="19" a="1"/>
  <c r="J66" i="19" s="1"/>
  <c r="J67" i="19" a="1"/>
  <c r="J67" i="19" s="1"/>
  <c r="J68" i="19" a="1"/>
  <c r="J68" i="19" s="1"/>
  <c r="J69" i="19" a="1"/>
  <c r="J69" i="19" s="1"/>
  <c r="J70" i="19" a="1"/>
  <c r="J70" i="19" s="1"/>
  <c r="J71" i="19" a="1"/>
  <c r="J71" i="19" s="1"/>
  <c r="J72" i="19" a="1"/>
  <c r="J72" i="19" s="1"/>
  <c r="J73" i="19" a="1"/>
  <c r="J73" i="19" s="1"/>
  <c r="J74" i="19" a="1"/>
  <c r="J74" i="19" s="1"/>
  <c r="J75" i="19" a="1"/>
  <c r="J75" i="19" s="1"/>
  <c r="J76" i="19" a="1"/>
  <c r="J76" i="19" s="1"/>
  <c r="J77" i="19" a="1"/>
  <c r="J77" i="19" s="1"/>
  <c r="J78" i="19" a="1"/>
  <c r="J78" i="19" s="1"/>
  <c r="J79" i="19" a="1"/>
  <c r="J79" i="19" s="1"/>
  <c r="J80" i="19" a="1"/>
  <c r="J80" i="19" s="1"/>
  <c r="J81" i="19" a="1"/>
  <c r="J81" i="19" s="1"/>
  <c r="J82" i="19" a="1"/>
  <c r="J82" i="19"/>
  <c r="J83" i="19" a="1"/>
  <c r="J83" i="19" s="1"/>
  <c r="J84" i="19" a="1"/>
  <c r="J84" i="19" s="1"/>
  <c r="J85" i="19" a="1"/>
  <c r="J85" i="19" s="1"/>
  <c r="J86" i="19" a="1"/>
  <c r="J86" i="19" s="1"/>
  <c r="J87" i="19" a="1"/>
  <c r="J87" i="19" s="1"/>
  <c r="J88" i="19" a="1"/>
  <c r="J88" i="19"/>
  <c r="J89" i="19" a="1"/>
  <c r="J89" i="19" s="1"/>
  <c r="J90" i="19" a="1"/>
  <c r="J90" i="19" s="1"/>
  <c r="J91" i="19" a="1"/>
  <c r="J91" i="19" s="1"/>
  <c r="J92" i="19" a="1"/>
  <c r="J92" i="19" s="1"/>
  <c r="J93" i="19" a="1"/>
  <c r="J93" i="19" s="1"/>
  <c r="J94" i="19" a="1"/>
  <c r="J94" i="19"/>
  <c r="J95" i="19" a="1"/>
  <c r="J95" i="19" s="1"/>
  <c r="J96" i="19" a="1"/>
  <c r="J96" i="19" s="1"/>
  <c r="J97" i="19" a="1"/>
  <c r="J97" i="19" s="1"/>
  <c r="J98" i="19" a="1"/>
  <c r="J98" i="19" s="1"/>
  <c r="J99" i="19" a="1"/>
  <c r="J99" i="19" s="1"/>
  <c r="J100" i="19" a="1"/>
  <c r="J100" i="19"/>
  <c r="J101" i="19" a="1"/>
  <c r="J101" i="19" s="1"/>
  <c r="J102" i="19" a="1"/>
  <c r="J102" i="19" s="1"/>
  <c r="J103" i="19" a="1"/>
  <c r="J103" i="19" s="1"/>
  <c r="J104" i="19" a="1"/>
  <c r="J104" i="19" s="1"/>
  <c r="J105" i="19" a="1"/>
  <c r="J105" i="19" s="1"/>
  <c r="J106" i="19" a="1"/>
  <c r="J106" i="19" s="1"/>
  <c r="J107" i="19" a="1"/>
  <c r="J107" i="19" s="1"/>
  <c r="J108" i="19" a="1"/>
  <c r="J108" i="19" s="1"/>
  <c r="J109" i="19" a="1"/>
  <c r="J109" i="19" s="1"/>
  <c r="J110" i="19" a="1"/>
  <c r="J110" i="19" s="1"/>
  <c r="J111" i="19" a="1"/>
  <c r="J111" i="19" s="1"/>
  <c r="J112" i="19" a="1"/>
  <c r="J112" i="19"/>
  <c r="J113" i="19" a="1"/>
  <c r="J113" i="19" s="1"/>
  <c r="J114" i="19" a="1"/>
  <c r="J114" i="19" s="1"/>
  <c r="J115" i="19" a="1"/>
  <c r="J115" i="19" s="1"/>
  <c r="J116" i="19" a="1"/>
  <c r="J116" i="19" s="1"/>
  <c r="J117" i="19" a="1"/>
  <c r="J117" i="19" s="1"/>
  <c r="J118" i="19" a="1"/>
  <c r="J118" i="19"/>
  <c r="J119" i="19" a="1"/>
  <c r="J119" i="19" s="1"/>
  <c r="J120" i="19" a="1"/>
  <c r="J120" i="19" s="1"/>
  <c r="J121" i="19" a="1"/>
  <c r="J121" i="19" s="1"/>
  <c r="J122" i="19" a="1"/>
  <c r="J122" i="19" s="1"/>
  <c r="J123" i="19" a="1"/>
  <c r="J123" i="19" s="1"/>
  <c r="J124" i="19" a="1"/>
  <c r="J124" i="19"/>
  <c r="J125" i="19" a="1"/>
  <c r="J125" i="19" s="1"/>
  <c r="J126" i="19" a="1"/>
  <c r="J126" i="19" s="1"/>
  <c r="J127" i="19" a="1"/>
  <c r="J127" i="19" s="1"/>
  <c r="J128" i="19" a="1"/>
  <c r="J128" i="19" s="1"/>
  <c r="J129" i="19" a="1"/>
  <c r="J129" i="19" s="1"/>
  <c r="J130" i="19" a="1"/>
  <c r="J130" i="19"/>
  <c r="J131" i="19" a="1"/>
  <c r="J131" i="19" s="1"/>
  <c r="J132" i="19" a="1"/>
  <c r="J132" i="19" s="1"/>
  <c r="J133" i="19" a="1"/>
  <c r="J133" i="19" s="1"/>
  <c r="J134" i="19" a="1"/>
  <c r="J134" i="19" s="1"/>
  <c r="J135" i="19" a="1"/>
  <c r="J135" i="19" s="1"/>
  <c r="J136" i="19" a="1"/>
  <c r="J136" i="19" s="1"/>
  <c r="J137" i="19" a="1"/>
  <c r="J137" i="19" s="1"/>
  <c r="J138" i="19" a="1"/>
  <c r="J138" i="19" s="1"/>
  <c r="J139" i="19" a="1"/>
  <c r="J139" i="19" s="1"/>
  <c r="J140" i="19" a="1"/>
  <c r="J140" i="19" s="1"/>
  <c r="J141" i="19" a="1"/>
  <c r="J141" i="19" s="1"/>
  <c r="J142" i="19" a="1"/>
  <c r="J142" i="19"/>
  <c r="J143" i="19" a="1"/>
  <c r="J143" i="19" s="1"/>
  <c r="J4" i="19" a="1"/>
  <c r="J4" i="19" s="1"/>
  <c r="N37" i="22" l="1"/>
  <c r="N40" i="22"/>
  <c r="N43" i="22"/>
  <c r="N46" i="22"/>
  <c r="N49" i="22"/>
  <c r="N52" i="22"/>
  <c r="N55" i="22"/>
  <c r="P37" i="22"/>
  <c r="L39" i="22"/>
  <c r="P40" i="22"/>
  <c r="L42" i="22"/>
  <c r="P43" i="22"/>
  <c r="L45" i="22"/>
  <c r="P46" i="22"/>
  <c r="L48" i="22"/>
  <c r="P49" i="22"/>
  <c r="L51" i="22"/>
  <c r="P52" i="22"/>
  <c r="L54" i="22"/>
  <c r="P55" i="22"/>
  <c r="L57" i="22"/>
  <c r="M39" i="22"/>
  <c r="M42" i="22"/>
  <c r="M45" i="22"/>
  <c r="M48" i="22"/>
  <c r="M51" i="22"/>
  <c r="M54" i="22"/>
  <c r="M57" i="22"/>
  <c r="N39" i="22"/>
  <c r="N42" i="22"/>
  <c r="N45" i="22"/>
  <c r="N48" i="22"/>
  <c r="N51" i="22"/>
  <c r="N54" i="22"/>
  <c r="N57" i="22"/>
  <c r="K38" i="22"/>
  <c r="O39" i="22"/>
  <c r="K41" i="22"/>
  <c r="O42" i="22"/>
  <c r="K44" i="22"/>
  <c r="O45" i="22"/>
  <c r="K47" i="22"/>
  <c r="O48" i="22"/>
  <c r="K50" i="22"/>
  <c r="O51" i="22"/>
  <c r="K53" i="22"/>
  <c r="O54" i="22"/>
  <c r="K56" i="22"/>
  <c r="O57" i="22"/>
  <c r="L38" i="22"/>
  <c r="P39" i="22"/>
  <c r="L41" i="22"/>
  <c r="P42" i="22"/>
  <c r="L44" i="22"/>
  <c r="P45" i="22"/>
  <c r="L47" i="22"/>
  <c r="P48" i="22"/>
  <c r="L50" i="22"/>
  <c r="P51" i="22"/>
  <c r="L53" i="22"/>
  <c r="P54" i="22"/>
  <c r="L56" i="22"/>
  <c r="P57" i="22"/>
  <c r="F33" i="10"/>
  <c r="G8" i="10" s="1"/>
  <c r="L20" i="3"/>
  <c r="M20" i="3" s="1"/>
  <c r="L19" i="3"/>
  <c r="M19" i="3" s="1"/>
  <c r="L18" i="3"/>
  <c r="M18" i="3" s="1"/>
  <c r="L17" i="3"/>
  <c r="M17" i="3" s="1"/>
  <c r="L16" i="3"/>
  <c r="M16" i="3" s="1"/>
  <c r="L15" i="3"/>
  <c r="M15" i="3" s="1"/>
  <c r="L14" i="3"/>
  <c r="M14" i="3" s="1"/>
  <c r="L13" i="3"/>
  <c r="M13" i="3" s="1"/>
  <c r="L12" i="3"/>
  <c r="M12" i="3" s="1"/>
  <c r="L11" i="3"/>
  <c r="M11" i="3" s="1"/>
  <c r="L10" i="3"/>
  <c r="M10" i="3" s="1"/>
  <c r="L9" i="3"/>
  <c r="M9" i="3" s="1"/>
  <c r="L8" i="3"/>
  <c r="M8" i="3" s="1"/>
  <c r="L7" i="3"/>
  <c r="M7" i="3" s="1"/>
  <c r="F15" i="4"/>
  <c r="F2" i="4"/>
  <c r="F3" i="4"/>
  <c r="F4" i="4"/>
  <c r="F5" i="4"/>
  <c r="F6" i="4"/>
  <c r="F7" i="4"/>
  <c r="F8" i="4"/>
  <c r="F9" i="4"/>
  <c r="F10" i="4"/>
  <c r="F11" i="4"/>
  <c r="F12" i="4"/>
  <c r="F13" i="4"/>
  <c r="F14" i="4"/>
  <c r="F16" i="4"/>
  <c r="F17" i="4"/>
  <c r="F18" i="4"/>
  <c r="F19" i="4"/>
  <c r="F20" i="4"/>
  <c r="F21" i="4"/>
  <c r="F22" i="4"/>
  <c r="F23" i="4"/>
  <c r="F24" i="4"/>
  <c r="E24" i="4"/>
  <c r="E23" i="4"/>
  <c r="E22" i="4"/>
  <c r="E21" i="4"/>
  <c r="E20" i="4"/>
  <c r="E19" i="4"/>
  <c r="E18" i="4"/>
  <c r="E17" i="4"/>
  <c r="E16" i="4"/>
  <c r="E15" i="4"/>
  <c r="E14" i="4"/>
  <c r="E13" i="4"/>
  <c r="E12" i="4"/>
  <c r="E11" i="4"/>
  <c r="E10" i="4"/>
  <c r="E9" i="4"/>
  <c r="E8" i="4"/>
  <c r="E7" i="4"/>
  <c r="E6" i="4"/>
  <c r="E5" i="4"/>
  <c r="E4" i="4"/>
  <c r="E3" i="4"/>
  <c r="E2" i="4"/>
  <c r="G12" i="10" l="1"/>
  <c r="G19" i="10"/>
  <c r="G16" i="10"/>
  <c r="G29" i="10"/>
  <c r="G26" i="10"/>
  <c r="G11" i="10"/>
  <c r="G31" i="10"/>
  <c r="G28" i="10"/>
  <c r="G25" i="10"/>
  <c r="G10" i="10"/>
  <c r="G32" i="10"/>
  <c r="G15" i="10"/>
  <c r="G27" i="10"/>
  <c r="G24" i="10"/>
  <c r="G7" i="10"/>
  <c r="G20" i="10"/>
  <c r="G17" i="10"/>
  <c r="G30" i="10"/>
  <c r="G14" i="10"/>
  <c r="G13" i="10"/>
  <c r="G23" i="10"/>
  <c r="G6" i="10"/>
  <c r="G9" i="10"/>
  <c r="G22" i="10"/>
  <c r="G5" i="10"/>
  <c r="G21" i="1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<sst xmlns="http://schemas.openxmlformats.org/spreadsheetml/2006/main" count="7090" uniqueCount="2037">
  <si>
    <t>medal_code</t>
  </si>
  <si>
    <t>medal_date</t>
  </si>
  <si>
    <t>name</t>
  </si>
  <si>
    <t>NOCID</t>
  </si>
  <si>
    <t>compound key</t>
  </si>
  <si>
    <t>DisciplineID</t>
  </si>
  <si>
    <t>Name in Athletes table</t>
  </si>
  <si>
    <t>AthleteID</t>
  </si>
  <si>
    <t>mardi, 30 juillet 2024</t>
  </si>
  <si>
    <t>Daniel WIFFEN</t>
  </si>
  <si>
    <t>daniel wiffen - 99</t>
  </si>
  <si>
    <t>WIFFEN Daniel</t>
  </si>
  <si>
    <t>lundi, 29 juillet 2024</t>
  </si>
  <si>
    <t>David POPOVICI</t>
  </si>
  <si>
    <t>david popovici - 171</t>
  </si>
  <si>
    <t>POPOVICI David</t>
  </si>
  <si>
    <t>samedi, 10 août 2024</t>
  </si>
  <si>
    <t>Arian SALIMI</t>
  </si>
  <si>
    <t>arian salimi - 98</t>
  </si>
  <si>
    <t>SALIMI Arian</t>
  </si>
  <si>
    <t>samedi, 3 août 2024</t>
  </si>
  <si>
    <t>Julien ALFRED</t>
  </si>
  <si>
    <t>julien alfred - 122</t>
  </si>
  <si>
    <t>ALFRED Julien</t>
  </si>
  <si>
    <t>mercredi, 31 juillet 2024</t>
  </si>
  <si>
    <t>Lasha BEKAURI</t>
  </si>
  <si>
    <t>lasha bekauri - 80</t>
  </si>
  <si>
    <t>BEKAURI Lasha</t>
  </si>
  <si>
    <t>Cassandre BEAUGRAND</t>
  </si>
  <si>
    <t>cassandre beaugrand - 72</t>
  </si>
  <si>
    <t>BEAUGRAND Cassandre</t>
  </si>
  <si>
    <t>dimanche, 11 août 2024</t>
  </si>
  <si>
    <t>Akhmed TAZHUDINOV</t>
  </si>
  <si>
    <t>akhmed tazhudinov - 31</t>
  </si>
  <si>
    <t>TAZHUDINOV Akhmed</t>
  </si>
  <si>
    <t>vendredi, 9 août 2024</t>
  </si>
  <si>
    <t>Imane KHELIF</t>
  </si>
  <si>
    <t>imane khelif - 5</t>
  </si>
  <si>
    <t>KHELIF Imane</t>
  </si>
  <si>
    <t>dimanche, 4 août 2024</t>
  </si>
  <si>
    <t>Kaylia NEMOUR</t>
  </si>
  <si>
    <t>kaylia nemour - 5</t>
  </si>
  <si>
    <t>NEMOUR Kaylia</t>
  </si>
  <si>
    <t>lundi, 5 août 2024</t>
  </si>
  <si>
    <t>Alice D'AMATO</t>
  </si>
  <si>
    <t>alice d'amato - 104</t>
  </si>
  <si>
    <t>D'AMATO Alice</t>
  </si>
  <si>
    <t>Toby ROBERTS</t>
  </si>
  <si>
    <t>toby roberts - 77</t>
  </si>
  <si>
    <t>ROBERTS Toby</t>
  </si>
  <si>
    <t>mercredi, 7 août 2024</t>
  </si>
  <si>
    <t>Mohammadhadi SARAVI</t>
  </si>
  <si>
    <t>mohammadhadi saravi - 98</t>
  </si>
  <si>
    <t>SARAVI Mohammadhadi</t>
  </si>
  <si>
    <t>jeudi, 8 août 2024</t>
  </si>
  <si>
    <t>Saeid ESMAEILI LEIVESI</t>
  </si>
  <si>
    <t>saeid esmaeili leivesi - 98</t>
  </si>
  <si>
    <t>ESMAEILI LEIVESI Saeid</t>
  </si>
  <si>
    <t>Lasha TALAKHADZE</t>
  </si>
  <si>
    <t>lasha talakhadze - 80</t>
  </si>
  <si>
    <t>TALAKHADZE Lasha</t>
  </si>
  <si>
    <t>Geno PETRIASHVILI</t>
  </si>
  <si>
    <t>geno petriashvili - 80</t>
  </si>
  <si>
    <t>PETRIASHVILI Geno</t>
  </si>
  <si>
    <t>mardi, 6 août 2024</t>
  </si>
  <si>
    <t>Kellie HARRINGTON</t>
  </si>
  <si>
    <t>kellie harrington - 99</t>
  </si>
  <si>
    <t>HARRINGTON Kellie</t>
  </si>
  <si>
    <t>Soufiane EL BAKKALI</t>
  </si>
  <si>
    <t>soufiane el bakkali - 128</t>
  </si>
  <si>
    <t>EL BAKKALI Soufiane</t>
  </si>
  <si>
    <t>Erislandy ALVAREZ BORGES</t>
  </si>
  <si>
    <t>erislandy alvarez borges - 54</t>
  </si>
  <si>
    <t>ALVAREZ BORGES Erislandy</t>
  </si>
  <si>
    <t>Hasanboy DUSMATOV</t>
  </si>
  <si>
    <t>hasanboy dusmatov - 216</t>
  </si>
  <si>
    <t>DUSMATOV Hasanboy</t>
  </si>
  <si>
    <t>Abdumalik KHALOKOV</t>
  </si>
  <si>
    <t>abdumalik khalokov - 216</t>
  </si>
  <si>
    <t>KHALOKOV Abdumalik</t>
  </si>
  <si>
    <t>Asadkhuja MUYDINKHUJAEV</t>
  </si>
  <si>
    <t>asadkhuja muydinkhujaev - 216</t>
  </si>
  <si>
    <t>MUYDINKHUJAEV Asadkhuja</t>
  </si>
  <si>
    <t>Lazizbek MULLOJONOV</t>
  </si>
  <si>
    <t>lazizbek mullojonov - 216</t>
  </si>
  <si>
    <t>MULLOJONOV Lazizbek</t>
  </si>
  <si>
    <t>Bakhodir JALOLOV</t>
  </si>
  <si>
    <t>bakhodir jalolov - 216</t>
  </si>
  <si>
    <t>JALOLOV Bakhodir</t>
  </si>
  <si>
    <t>Magomed Eldarovitch RAMAZANOV</t>
  </si>
  <si>
    <t>magomed eldarovitch ramazanov - 33</t>
  </si>
  <si>
    <t>RAMAZANOV Magomed Eldarovitch</t>
  </si>
  <si>
    <t>Semen Sergeevich NOVIKOV</t>
  </si>
  <si>
    <t>semen sergeevich novikov - 33</t>
  </si>
  <si>
    <t>NOVIKOV Semen Sergeevich</t>
  </si>
  <si>
    <t>Razambek Salambekovitch JAMALOV</t>
  </si>
  <si>
    <t>razambek salambekovitch jamalov - 216</t>
  </si>
  <si>
    <t>JAMALOV Razambek Salambekovitch</t>
  </si>
  <si>
    <t>Aleksandra MIROSLAW</t>
  </si>
  <si>
    <t>aleksandra miroslaw - 164</t>
  </si>
  <si>
    <t>MIROSLAW Aleksandra</t>
  </si>
  <si>
    <t>Oleksandr KHYZHNIAK</t>
  </si>
  <si>
    <t>oleksandr khyzhniak - 212</t>
  </si>
  <si>
    <t>KHYZHNIAK Oleksandr</t>
  </si>
  <si>
    <t>Valentin BONTUS</t>
  </si>
  <si>
    <t>valentin bontus - 14</t>
  </si>
  <si>
    <t>BONTUS Valentin</t>
  </si>
  <si>
    <t>dimanche, 28 juillet 2024</t>
  </si>
  <si>
    <t>Diyora KELDIYOROVA</t>
  </si>
  <si>
    <t>diyora keldiyorova - 216</t>
  </si>
  <si>
    <t>KELDIYOROVA Diyora</t>
  </si>
  <si>
    <t>Kauli VAAST</t>
  </si>
  <si>
    <t>kauli vaast - 72</t>
  </si>
  <si>
    <t>VAAST Kauli</t>
  </si>
  <si>
    <t>Armand DUPLANTIS</t>
  </si>
  <si>
    <t>armand duplantis - 194</t>
  </si>
  <si>
    <t>DUPLANTIS Armand</t>
  </si>
  <si>
    <t>Mijain LOPEZ NUNEZ</t>
  </si>
  <si>
    <t>mijain lopez nunez - 54</t>
  </si>
  <si>
    <t>LOPEZ NUNEZ Mijain</t>
  </si>
  <si>
    <t>Yaroslava MAHUCHIKH</t>
  </si>
  <si>
    <t>yaroslava mahuchikh - 212</t>
  </si>
  <si>
    <t>MAHUCHIKH Yaroslava</t>
  </si>
  <si>
    <t>Viviana MARTON</t>
  </si>
  <si>
    <t>viviana marton - 93</t>
  </si>
  <si>
    <t>MARTON Viviana</t>
  </si>
  <si>
    <t>Sarah SJOESTROEM</t>
  </si>
  <si>
    <t>sarah sjoestroem - 194</t>
  </si>
  <si>
    <t>SJOESTROEM Sarah</t>
  </si>
  <si>
    <t>Markus ROOTH</t>
  </si>
  <si>
    <t>markus rooth - 151</t>
  </si>
  <si>
    <t>ROOTH Markus</t>
  </si>
  <si>
    <t>Arshad NADEEM</t>
  </si>
  <si>
    <t>arshad nadeem - 156</t>
  </si>
  <si>
    <t>NADEEM Arshad</t>
  </si>
  <si>
    <t>Solfrid Eila Amena KOANDA</t>
  </si>
  <si>
    <t>solfrid eila amena koanda - 151</t>
  </si>
  <si>
    <t>KOANDA Solfrid Eila Amena</t>
  </si>
  <si>
    <t>Josef DOSTAL</t>
  </si>
  <si>
    <t>josef dostal - 56</t>
  </si>
  <si>
    <t>DOSTAL Josef</t>
  </si>
  <si>
    <t>Martin FUKSA</t>
  </si>
  <si>
    <t>martin fuksa - 56</t>
  </si>
  <si>
    <t>FUKSA Martin</t>
  </si>
  <si>
    <t>Nicolas GESTIN</t>
  </si>
  <si>
    <t>nicolas gestin - 72</t>
  </si>
  <si>
    <t>GESTIN Nicolas</t>
  </si>
  <si>
    <t>Ulugbek RASHITOV</t>
  </si>
  <si>
    <t>ulugbek rashitov - 216</t>
  </si>
  <si>
    <t>RASHITOV Ulugbek</t>
  </si>
  <si>
    <t>LIN Yu Ting</t>
  </si>
  <si>
    <t>lin yu ting - 205</t>
  </si>
  <si>
    <t>Viktor AXELSEN</t>
  </si>
  <si>
    <t>viktor axelsen - 57</t>
  </si>
  <si>
    <t>AXELSEN Viktor</t>
  </si>
  <si>
    <t>vendredi, 2 août 2024</t>
  </si>
  <si>
    <t>Teddy RINER</t>
  </si>
  <si>
    <t>teddy riner - 72</t>
  </si>
  <si>
    <t>RINER Teddy</t>
  </si>
  <si>
    <t>AN Se Young</t>
  </si>
  <si>
    <t>an se young - 113</t>
  </si>
  <si>
    <t>Althea LAURIN</t>
  </si>
  <si>
    <t>althea laurin - 72</t>
  </si>
  <si>
    <t>LAURIN Althea</t>
  </si>
  <si>
    <t>BAN Hyojin</t>
  </si>
  <si>
    <t>ban hyojin - 113</t>
  </si>
  <si>
    <t>OH Ye Jin</t>
  </si>
  <si>
    <t>oh ye jin - 113</t>
  </si>
  <si>
    <t>YANG Jiin</t>
  </si>
  <si>
    <t>yang jiin - 113</t>
  </si>
  <si>
    <t>Joris DAUDET</t>
  </si>
  <si>
    <t>joris daudet - 72</t>
  </si>
  <si>
    <t>DAUDET Joris</t>
  </si>
  <si>
    <t>Pauline FERRAND PREVOT</t>
  </si>
  <si>
    <t>pauline ferrand prevot - 72</t>
  </si>
  <si>
    <t>FERRAND PREVOT Pauline</t>
  </si>
  <si>
    <t>Benjamin THOMAS</t>
  </si>
  <si>
    <t>benjamin thomas - 72</t>
  </si>
  <si>
    <t>THOMAS Benjamin</t>
  </si>
  <si>
    <t>VARFOLOMEEV Darja</t>
  </si>
  <si>
    <t>varfolomeev darja - 82</t>
  </si>
  <si>
    <t>KANO Koki</t>
  </si>
  <si>
    <t>kano koki - 108</t>
  </si>
  <si>
    <t>samedi, 27 juillet 2024</t>
  </si>
  <si>
    <t>TSUNODA Natsumi</t>
  </si>
  <si>
    <t>tsunoda natsumi - 108</t>
  </si>
  <si>
    <t>ABE Hifumi</t>
  </si>
  <si>
    <t>abe hifumi - 108</t>
  </si>
  <si>
    <t>NAGASE Takanori</t>
  </si>
  <si>
    <t>nagase takanori - 108</t>
  </si>
  <si>
    <t>Jakob INGEBRIGTSEN</t>
  </si>
  <si>
    <t>jakob ingebrigtsen - 151</t>
  </si>
  <si>
    <t>INGEBRIGTSEN Jakob</t>
  </si>
  <si>
    <t>Barbara MATIC</t>
  </si>
  <si>
    <t>barbara matic - 53</t>
  </si>
  <si>
    <t>MATIC Barbara</t>
  </si>
  <si>
    <t>Marta MAGGETTI</t>
  </si>
  <si>
    <t>marta maggetti - 104</t>
  </si>
  <si>
    <t>MAGGETTI Marta</t>
  </si>
  <si>
    <t>Marileidy PAULINO</t>
  </si>
  <si>
    <t>marileidy paulino - 60</t>
  </si>
  <si>
    <t>PAULINO Marileidy</t>
  </si>
  <si>
    <t>Eleanor ALDRIDGE</t>
  </si>
  <si>
    <t>eleanor aldridge - 77</t>
  </si>
  <si>
    <t>ALDRIDGE Eleanor</t>
  </si>
  <si>
    <t>Tamirat TOLA</t>
  </si>
  <si>
    <t>tamirat tola - 68</t>
  </si>
  <si>
    <t>TOLA Tamirat</t>
  </si>
  <si>
    <t>CHEN Yiwen</t>
  </si>
  <si>
    <t>chen yiwen - 42</t>
  </si>
  <si>
    <t>QUAN Hongchan</t>
  </si>
  <si>
    <t>quan hongchan - 42</t>
  </si>
  <si>
    <t>XIE Siyi</t>
  </si>
  <si>
    <t>xie siyi - 42</t>
  </si>
  <si>
    <t>CAO Yuan</t>
  </si>
  <si>
    <t>cao yuan - 42</t>
  </si>
  <si>
    <t>YOSHIZAWA Coco</t>
  </si>
  <si>
    <t>yoshizawa coco - 108</t>
  </si>
  <si>
    <t>HORIGOME Yuto</t>
  </si>
  <si>
    <t>horigome yuto - 108</t>
  </si>
  <si>
    <t>KIM Woojin</t>
  </si>
  <si>
    <t>kim woojin - 113</t>
  </si>
  <si>
    <t>LIM Sihyeon</t>
  </si>
  <si>
    <t>lim sihyeon - 113</t>
  </si>
  <si>
    <t>FAN Zhendong</t>
  </si>
  <si>
    <t>fan zhendong - 42</t>
  </si>
  <si>
    <t>CHEN Meng</t>
  </si>
  <si>
    <t>chen meng - 42</t>
  </si>
  <si>
    <t>Panipak WONGPATTANAKIT</t>
  </si>
  <si>
    <t>panipak wongpattanakit - 200</t>
  </si>
  <si>
    <t>WONGPATTANAKIT Panipak</t>
  </si>
  <si>
    <t>Karlos May NASAR</t>
  </si>
  <si>
    <t>karlos may nasar - 33</t>
  </si>
  <si>
    <t>NASAR Karlos May</t>
  </si>
  <si>
    <t>THIAM Nafissatou</t>
  </si>
  <si>
    <t>thiam nafissatou - 20</t>
  </si>
  <si>
    <t>Remco EVENEPOEL</t>
  </si>
  <si>
    <t>remco evenepoel - 20</t>
  </si>
  <si>
    <t>EVENEPOEL Remco</t>
  </si>
  <si>
    <t>KIM Yujin</t>
  </si>
  <si>
    <t>kim yujin - 113</t>
  </si>
  <si>
    <t>PARK Taejoon</t>
  </si>
  <si>
    <t>park taejoon - 113</t>
  </si>
  <si>
    <t>Jordan Alejandro DIAZ FORTUN</t>
  </si>
  <si>
    <t>jordan alejandro diaz fortun - 66</t>
  </si>
  <si>
    <t>DIAZ FORTUN Jordan Alejandro</t>
  </si>
  <si>
    <t>Alex YEE</t>
  </si>
  <si>
    <t>alex yee - 77</t>
  </si>
  <si>
    <t>YEE Alex</t>
  </si>
  <si>
    <t>Nathan HALES</t>
  </si>
  <si>
    <t>nathan hales - 77</t>
  </si>
  <si>
    <t>HALES Nathan</t>
  </si>
  <si>
    <t>Bryony PAGE</t>
  </si>
  <si>
    <t>bryony page - 77</t>
  </si>
  <si>
    <t>PAGE Bryony</t>
  </si>
  <si>
    <t>jeudi, 1 août 2024</t>
  </si>
  <si>
    <t>Hubert KOS</t>
  </si>
  <si>
    <t>hubert kos - 93</t>
  </si>
  <si>
    <t>KOS Hubert</t>
  </si>
  <si>
    <t>Kristof MILAK</t>
  </si>
  <si>
    <t>kristof milak - 93</t>
  </si>
  <si>
    <t>MILAK Kristof</t>
  </si>
  <si>
    <t>Oliver ZEIDLER</t>
  </si>
  <si>
    <t>oliver zeidler - 82</t>
  </si>
  <si>
    <t>ZEIDLER Oliver</t>
  </si>
  <si>
    <t>Lukas MAERTENS</t>
  </si>
  <si>
    <t>lukas maertens - 82</t>
  </si>
  <si>
    <t>MAERTENS Lukas</t>
  </si>
  <si>
    <t>Thea LAFOND</t>
  </si>
  <si>
    <t>thea lafond - 59</t>
  </si>
  <si>
    <t>LAFOND Thea</t>
  </si>
  <si>
    <t>Kristof RASOVSZKY</t>
  </si>
  <si>
    <t>kristof rasovszky - 93</t>
  </si>
  <si>
    <t>RASOVSZKY Kristof</t>
  </si>
  <si>
    <t>Leon MARCHAND</t>
  </si>
  <si>
    <t>leon marchand - 72</t>
  </si>
  <si>
    <t>MARCHAND Leon</t>
  </si>
  <si>
    <t>Emmanuel WANYONYI</t>
  </si>
  <si>
    <t>emmanuel wanyonyi - 110</t>
  </si>
  <si>
    <t>WANYONYI Emmanuel</t>
  </si>
  <si>
    <t>Faith KIPYEGON</t>
  </si>
  <si>
    <t>faith kipyegon - 110</t>
  </si>
  <si>
    <t>KIPYEGON Faith</t>
  </si>
  <si>
    <t>Beatrice CHEBET</t>
  </si>
  <si>
    <t>beatrice chebet - 110</t>
  </si>
  <si>
    <t>CHEBET Beatrice</t>
  </si>
  <si>
    <t>Roje STONA</t>
  </si>
  <si>
    <t>roje stona - 106</t>
  </si>
  <si>
    <t>STONA Roje</t>
  </si>
  <si>
    <t>Thomas PIDCOCK</t>
  </si>
  <si>
    <t>thomas pidcock - 77</t>
  </si>
  <si>
    <t>PIDCOCK Thomas</t>
  </si>
  <si>
    <t>SHENG Lihao</t>
  </si>
  <si>
    <t>sheng lihao - 42</t>
  </si>
  <si>
    <t>XIE Yu</t>
  </si>
  <si>
    <t>xie yu - 42</t>
  </si>
  <si>
    <t>LI Yuehong</t>
  </si>
  <si>
    <t>li yuehong - 42</t>
  </si>
  <si>
    <t>LIU Yukun</t>
  </si>
  <si>
    <t>liu yukun - 42</t>
  </si>
  <si>
    <t>Christian KUKUK</t>
  </si>
  <si>
    <t>christian kukuk - 82</t>
  </si>
  <si>
    <t>KUKUK Christian</t>
  </si>
  <si>
    <t>Michael JUNG</t>
  </si>
  <si>
    <t>michael jung - 82</t>
  </si>
  <si>
    <t>JUNG Michael</t>
  </si>
  <si>
    <t>Manon APITHY-BRUNET</t>
  </si>
  <si>
    <t>manon apithy-brunet - 72</t>
  </si>
  <si>
    <t>APITHY-BRUNET Manon</t>
  </si>
  <si>
    <t>Jose TORRES GIL</t>
  </si>
  <si>
    <t>jose torres gil - 9</t>
  </si>
  <si>
    <t>TORRES GIL Jose</t>
  </si>
  <si>
    <t>LIU Huanhua</t>
  </si>
  <si>
    <t>liu huanhua - 42</t>
  </si>
  <si>
    <t>LI Fabin</t>
  </si>
  <si>
    <t>li fabin - 42</t>
  </si>
  <si>
    <t>LI Wenwen</t>
  </si>
  <si>
    <t>li wenwen - 42</t>
  </si>
  <si>
    <t>HOU Zhihui</t>
  </si>
  <si>
    <t>hou zhihui - 42</t>
  </si>
  <si>
    <t>LUO Shifang</t>
  </si>
  <si>
    <t>luo shifang - 42</t>
  </si>
  <si>
    <t>LIU Yang</t>
  </si>
  <si>
    <t>liu yang - 42</t>
  </si>
  <si>
    <t>ZOU Jingyuan</t>
  </si>
  <si>
    <t>zou jingyuan - 42</t>
  </si>
  <si>
    <t>YANG Jiayu</t>
  </si>
  <si>
    <t>yang jiayu - 42</t>
  </si>
  <si>
    <t>OKA Shinnosuke</t>
  </si>
  <si>
    <t>oka shinnosuke - 108</t>
  </si>
  <si>
    <t>KITAGUCHI Haruka</t>
  </si>
  <si>
    <t>kitaguchi haruka - 108</t>
  </si>
  <si>
    <t>Yemisi OGUNLEYE</t>
  </si>
  <si>
    <t>yemisi ogunleye - 82</t>
  </si>
  <si>
    <t>OGUNLEYE Yemisi</t>
  </si>
  <si>
    <t>DENG Yawen</t>
  </si>
  <si>
    <t>deng yawen - 42</t>
  </si>
  <si>
    <t>Keely HODGKINSON</t>
  </si>
  <si>
    <t>keely hodgkinson - 77</t>
  </si>
  <si>
    <t>HODGKINSON Keely</t>
  </si>
  <si>
    <t>Alice BELLANDI</t>
  </si>
  <si>
    <t>alice bellandi - 104</t>
  </si>
  <si>
    <t>BELLANDI Alice</t>
  </si>
  <si>
    <t>Nicolo MARTINENGHI</t>
  </si>
  <si>
    <t>nicolo martinenghi - 104</t>
  </si>
  <si>
    <t>MARTINENGHI Nicolo</t>
  </si>
  <si>
    <t>Thomas CECCON</t>
  </si>
  <si>
    <t>thomas ceccon - 104</t>
  </si>
  <si>
    <t>CECCON Thomas</t>
  </si>
  <si>
    <t>Winfred YAVI</t>
  </si>
  <si>
    <t>winfred yavi - 31</t>
  </si>
  <si>
    <t>YAVI Winfred</t>
  </si>
  <si>
    <t>Hamish KERR</t>
  </si>
  <si>
    <t>hamish kerr - 153</t>
  </si>
  <si>
    <t>KERR Hamish</t>
  </si>
  <si>
    <t>LI Qian</t>
  </si>
  <si>
    <t>li qian - 42</t>
  </si>
  <si>
    <t>CHANG Yuan</t>
  </si>
  <si>
    <t>chang yuan - 42</t>
  </si>
  <si>
    <t>WU Yu</t>
  </si>
  <si>
    <t>wu yu - 42</t>
  </si>
  <si>
    <t>OH Sanguk</t>
  </si>
  <si>
    <t>oh sanguk - 113</t>
  </si>
  <si>
    <t>Tom REUVENY</t>
  </si>
  <si>
    <t>tom reuveny - 102</t>
  </si>
  <si>
    <t>REUVENY Tom</t>
  </si>
  <si>
    <t>ZHENG Qinwen</t>
  </si>
  <si>
    <t>zheng qinwen - 42</t>
  </si>
  <si>
    <t>Brian Daniel PINTADO</t>
  </si>
  <si>
    <t>brian daniel pintado - 61</t>
  </si>
  <si>
    <t>PINTADO Brian Daniel</t>
  </si>
  <si>
    <t>Ahmed ELGENDY</t>
  </si>
  <si>
    <t>ahmed elgendy - 62</t>
  </si>
  <si>
    <t>ELGENDY Ahmed</t>
  </si>
  <si>
    <t>Yeldos SMETOV</t>
  </si>
  <si>
    <t>yeldos smetov - 109</t>
  </si>
  <si>
    <t>SMETOV Yeldos</t>
  </si>
  <si>
    <t>Michelle GULYAS</t>
  </si>
  <si>
    <t>michelle gulyas - 93</t>
  </si>
  <si>
    <t>GULYAS Michelle</t>
  </si>
  <si>
    <t>Letsile TEBOGO</t>
  </si>
  <si>
    <t>letsile tebogo - 29</t>
  </si>
  <si>
    <t>TEBOGO Letsile</t>
  </si>
  <si>
    <t>Ivan LITVINOVICH</t>
  </si>
  <si>
    <t>ivan litvinovich - 3</t>
  </si>
  <si>
    <t>LITVINOVICH Ivan</t>
  </si>
  <si>
    <t>Francisca CROVETTO CHADID</t>
  </si>
  <si>
    <t>francisca crovetto chadid - 41</t>
  </si>
  <si>
    <t>CROVETTO CHADID Francisca</t>
  </si>
  <si>
    <t>Lydia KO</t>
  </si>
  <si>
    <t>lydia ko - 153</t>
  </si>
  <si>
    <t>KO Lydia</t>
  </si>
  <si>
    <t>KUSAKA Nao</t>
  </si>
  <si>
    <t>kusaka nao - 108</t>
  </si>
  <si>
    <t>KIYOOKA Kotaro</t>
  </si>
  <si>
    <t>kiyooka kotaro - 108</t>
  </si>
  <si>
    <t>KAGAMI Yuka</t>
  </si>
  <si>
    <t>kagami yuka - 108</t>
  </si>
  <si>
    <t>MOTOKI Sakura</t>
  </si>
  <si>
    <t>motoki sakura - 108</t>
  </si>
  <si>
    <t>SAKURAI Tsugumi</t>
  </si>
  <si>
    <t>sakurai tsugumi - 108</t>
  </si>
  <si>
    <t>FUJINAMI Akari</t>
  </si>
  <si>
    <t>fujinami akari - 108</t>
  </si>
  <si>
    <t>FUMITA Kenichiro</t>
  </si>
  <si>
    <t>fumita kenichiro - 108</t>
  </si>
  <si>
    <t>HIGUCHI Rei</t>
  </si>
  <si>
    <t>higuchi rei - 108</t>
  </si>
  <si>
    <t>Nina KENNEDY</t>
  </si>
  <si>
    <t>nina kennedy - 13</t>
  </si>
  <si>
    <t>KENNEDY Nina</t>
  </si>
  <si>
    <t>Saya SAKAKIBARA</t>
  </si>
  <si>
    <t>saya sakakibara - 13</t>
  </si>
  <si>
    <t>SAKAKIBARA Saya</t>
  </si>
  <si>
    <t>Grace BROWN</t>
  </si>
  <si>
    <t>grace brown - 13</t>
  </si>
  <si>
    <t>BROWN Grace</t>
  </si>
  <si>
    <t>Jessica FOX</t>
  </si>
  <si>
    <t>jessica fox - 13</t>
  </si>
  <si>
    <t>FOX Jessica</t>
  </si>
  <si>
    <t>Noemie FOX</t>
  </si>
  <si>
    <t>noemie fox - 13</t>
  </si>
  <si>
    <t>FOX Noemie</t>
  </si>
  <si>
    <t>Veddriq LEONARDO</t>
  </si>
  <si>
    <t>veddriq leonardo - 94</t>
  </si>
  <si>
    <t>LEONARDO Veddriq</t>
  </si>
  <si>
    <t>Rizki JUNIANSYAH</t>
  </si>
  <si>
    <t>rizki juniansyah - 94</t>
  </si>
  <si>
    <t>JUNIANSYAH Rizki</t>
  </si>
  <si>
    <t>Ellesse ANDREWS</t>
  </si>
  <si>
    <t>ellesse andrews - 153</t>
  </si>
  <si>
    <t>ANDREWS Ellesse</t>
  </si>
  <si>
    <t>PAN Zhanle</t>
  </si>
  <si>
    <t>pan zhanle - 42</t>
  </si>
  <si>
    <t>Lisa CARRINGTON</t>
  </si>
  <si>
    <t>lisa carrington - 153</t>
  </si>
  <si>
    <t>CARRINGTON Lisa</t>
  </si>
  <si>
    <t>Finn BUTCHER</t>
  </si>
  <si>
    <t>finn butcher - 153</t>
  </si>
  <si>
    <t>BUTCHER Finn</t>
  </si>
  <si>
    <t>Matt WEARN</t>
  </si>
  <si>
    <t>matt wearn - 13</t>
  </si>
  <si>
    <t>WEARN Matt</t>
  </si>
  <si>
    <t>Arisa TREW</t>
  </si>
  <si>
    <t>arisa trew - 13</t>
  </si>
  <si>
    <t>TREW Arisa</t>
  </si>
  <si>
    <t>Keegan PALMER</t>
  </si>
  <si>
    <t>keegan palmer - 13</t>
  </si>
  <si>
    <t>PALMER Keegan</t>
  </si>
  <si>
    <t>Ariarne TITMUS</t>
  </si>
  <si>
    <t>ariarne titmus - 13</t>
  </si>
  <si>
    <t>TITMUS Ariarne</t>
  </si>
  <si>
    <t>Mollie O'CALLAGHAN</t>
  </si>
  <si>
    <t>mollie o'callaghan - 13</t>
  </si>
  <si>
    <t>O'CALLAGHAN Mollie</t>
  </si>
  <si>
    <t>Firas KATOUSSI</t>
  </si>
  <si>
    <t>firas katoussi - 207</t>
  </si>
  <si>
    <t>KATOUSSI Firas</t>
  </si>
  <si>
    <t>Rebeca ANDRADE</t>
  </si>
  <si>
    <t>rebeca andrade - 30</t>
  </si>
  <si>
    <t>ANDRADE Rebeca</t>
  </si>
  <si>
    <t>Beatriz SOUZA</t>
  </si>
  <si>
    <t>beatriz souza - 30</t>
  </si>
  <si>
    <t>SOUZA Beatriz</t>
  </si>
  <si>
    <t>Christa DEGUCHI</t>
  </si>
  <si>
    <t>christa deguchi - 37</t>
  </si>
  <si>
    <t>DEGUCHI Christa</t>
  </si>
  <si>
    <t>Novak DJOKOVIC</t>
  </si>
  <si>
    <t>novak djokovic - 186</t>
  </si>
  <si>
    <t>DJOKOVIC Novak</t>
  </si>
  <si>
    <t>Adriana RUANO OLIVA</t>
  </si>
  <si>
    <t>adriana ruano oliva - 86</t>
  </si>
  <si>
    <t>RUANO OLIVA Adriana</t>
  </si>
  <si>
    <t>Miltiadis TENTOGLOU</t>
  </si>
  <si>
    <t>miltiadis tentoglou - 84</t>
  </si>
  <si>
    <t>TENTOGLOU Miltiadis</t>
  </si>
  <si>
    <t>Tatjana SMITH</t>
  </si>
  <si>
    <t>tatjana smith - 172</t>
  </si>
  <si>
    <t>SMITH Tatjana</t>
  </si>
  <si>
    <t>CHEUNG Ka Long</t>
  </si>
  <si>
    <t>cheung ka long - 91</t>
  </si>
  <si>
    <t>KONG Man Wai Vivian</t>
  </si>
  <si>
    <t>kong man wai vivian - 91</t>
  </si>
  <si>
    <t>Katie VINCENT</t>
  </si>
  <si>
    <t>katie vincent - 37</t>
  </si>
  <si>
    <t>VINCENT Katie</t>
  </si>
  <si>
    <t>Karolien FLORIJN</t>
  </si>
  <si>
    <t>karolien florijn - 147</t>
  </si>
  <si>
    <t>FLORIJN Karolien</t>
  </si>
  <si>
    <t>Harrie LAVREYSEN</t>
  </si>
  <si>
    <t>harrie lavreysen - 147</t>
  </si>
  <si>
    <t>LAVREYSEN Harrie</t>
  </si>
  <si>
    <t>Marit BOUWMEESTER</t>
  </si>
  <si>
    <t>marit bouwmeester - 147</t>
  </si>
  <si>
    <t>BOUWMEESTER Marit</t>
  </si>
  <si>
    <t>Joshua CHEPTEGEI</t>
  </si>
  <si>
    <t>joshua cheptegei - 211</t>
  </si>
  <si>
    <t>CHEPTEGEI Joshua</t>
  </si>
  <si>
    <t>Sifan HASSAN</t>
  </si>
  <si>
    <t>sifan hassan - 147</t>
  </si>
  <si>
    <t>HASSAN Sifan</t>
  </si>
  <si>
    <t>Hidayat HEYDAROV</t>
  </si>
  <si>
    <t>hidayat heydarov - 15</t>
  </si>
  <si>
    <t>HEYDAROV Hidayat</t>
  </si>
  <si>
    <t>Zelym KOTSOIEV</t>
  </si>
  <si>
    <t>zelym kotsoiev - 15</t>
  </si>
  <si>
    <t>KOTSOIEV Zelym</t>
  </si>
  <si>
    <t>Ethan KATZBERG</t>
  </si>
  <si>
    <t>ethan katzberg - 37</t>
  </si>
  <si>
    <t>KATZBERG Ethan</t>
  </si>
  <si>
    <t>Camryn ROGERS</t>
  </si>
  <si>
    <t>camryn rogers - 37</t>
  </si>
  <si>
    <t>ROGERS Camryn</t>
  </si>
  <si>
    <t>Carlos Edriel YULO</t>
  </si>
  <si>
    <t>carlos edriel yulo - 160</t>
  </si>
  <si>
    <t>YULO Carlos Edriel</t>
  </si>
  <si>
    <t>Chiara LEONE</t>
  </si>
  <si>
    <t>chiara leone - 191</t>
  </si>
  <si>
    <t>LEONE Chiara</t>
  </si>
  <si>
    <t>Andreja LESKI</t>
  </si>
  <si>
    <t>andreja leski - 182</t>
  </si>
  <si>
    <t>LESKI Andreja</t>
  </si>
  <si>
    <t>Janja GARNBRET</t>
  </si>
  <si>
    <t>janja garnbret - 182</t>
  </si>
  <si>
    <t>GARNBRET Janja</t>
  </si>
  <si>
    <t>Artur ALEKSANYAN</t>
  </si>
  <si>
    <t>artur aleksanyan - 10</t>
  </si>
  <si>
    <t>ALEKSANYAN Artur</t>
  </si>
  <si>
    <t>Shanieka RICKETTS</t>
  </si>
  <si>
    <t>shanieka ricketts - 106</t>
  </si>
  <si>
    <t>RICKETTS Shanieka</t>
  </si>
  <si>
    <t>Federico Nilo MALDINI</t>
  </si>
  <si>
    <t>federico nilo maldini - 104</t>
  </si>
  <si>
    <t>MALDINI Federico Nilo</t>
  </si>
  <si>
    <t>Marco Alonso VERDE ALVAREZ</t>
  </si>
  <si>
    <t>marco alonso verde alvarez - 133</t>
  </si>
  <si>
    <t>VERDE ALVAREZ Marco Alonso</t>
  </si>
  <si>
    <t>Berihu AREGAWI</t>
  </si>
  <si>
    <t>berihu aregawi - 68</t>
  </si>
  <si>
    <t>AREGAWI Berihu</t>
  </si>
  <si>
    <t>Prisca AWITI ALCARAZ</t>
  </si>
  <si>
    <t>prisca awiti alcaraz - 133</t>
  </si>
  <si>
    <t>AWITI ALCARAZ Prisca</t>
  </si>
  <si>
    <t>Tsige DUGUMA</t>
  </si>
  <si>
    <t>tsige duguma - 68</t>
  </si>
  <si>
    <t>DUGUMA Tsige</t>
  </si>
  <si>
    <t>Mehran BARKHORDARI</t>
  </si>
  <si>
    <t>mehran barkhordari - 98</t>
  </si>
  <si>
    <t>BARKHORDARI Mehran</t>
  </si>
  <si>
    <t>Nahid KIYANICHANDEH</t>
  </si>
  <si>
    <t>nahid kiyanichandeh - 98</t>
  </si>
  <si>
    <t>KIYANICHANDEH Nahid</t>
  </si>
  <si>
    <t>Tato GRIGALASHVILI</t>
  </si>
  <si>
    <t>tato grigalashvili - 80</t>
  </si>
  <si>
    <t>GRIGALASHVILI Tato</t>
  </si>
  <si>
    <t>Distria KRASNIQI</t>
  </si>
  <si>
    <t>distria krasniqi - 114</t>
  </si>
  <si>
    <t>KRASNIQI Distria</t>
  </si>
  <si>
    <t>Zaid KAREEM</t>
  </si>
  <si>
    <t>zaid kareem - 107</t>
  </si>
  <si>
    <t>KAREEM Zaid</t>
  </si>
  <si>
    <t>Yauheni ZALATY</t>
  </si>
  <si>
    <t>yauheni zalaty - 3</t>
  </si>
  <si>
    <t>ZALATY Yauheni</t>
  </si>
  <si>
    <t>Amir Hossein ZARE</t>
  </si>
  <si>
    <t>amir hossein zare - 98</t>
  </si>
  <si>
    <t>ZARE Amir Hossein</t>
  </si>
  <si>
    <t>Yeison LOPEZ</t>
  </si>
  <si>
    <t>yeison lopez - 48</t>
  </si>
  <si>
    <t>LOPEZ Yeison</t>
  </si>
  <si>
    <t>Mari Leivis SANCHEZ</t>
  </si>
  <si>
    <t>mari leivis sanchez - 48</t>
  </si>
  <si>
    <t>SANCHEZ Mari Leivis</t>
  </si>
  <si>
    <t>Mihaela Valentina CAMBEI</t>
  </si>
  <si>
    <t>mihaela valentina cambei - 171</t>
  </si>
  <si>
    <t>CAMBEI Mihaela Valentina</t>
  </si>
  <si>
    <t>Varazdat LALAYAN</t>
  </si>
  <si>
    <t>varazdat lalayan - 10</t>
  </si>
  <si>
    <t>LALAYAN Varazdat</t>
  </si>
  <si>
    <t>Neeraj CHOPRA</t>
  </si>
  <si>
    <t>neeraj chopra - 95</t>
  </si>
  <si>
    <t>CHOPRA Neeraj</t>
  </si>
  <si>
    <t>Hassan YAZDANICHARATI</t>
  </si>
  <si>
    <t>hassan yazdanicharati - 98</t>
  </si>
  <si>
    <t>YAZDANICHARATI Hassan</t>
  </si>
  <si>
    <t>Rahman AMOUZADKHALILI</t>
  </si>
  <si>
    <t>rahman amouzadkhalili - 98</t>
  </si>
  <si>
    <t>AMOUZADKHALILI Rahman</t>
  </si>
  <si>
    <t>Alireza MOHMADIPIANI</t>
  </si>
  <si>
    <t>alireza mohmadipiani - 98</t>
  </si>
  <si>
    <t>MOHMADIPIANI Alireza</t>
  </si>
  <si>
    <t>Elodie CLOUVEL</t>
  </si>
  <si>
    <t>elodie clouvel - 72</t>
  </si>
  <si>
    <t>CLOUVEL Elodie</t>
  </si>
  <si>
    <t>Parviz NASIBOV</t>
  </si>
  <si>
    <t>parviz nasibov - 212</t>
  </si>
  <si>
    <t>NASIBOV Parviz</t>
  </si>
  <si>
    <t>KALEYN Boryana</t>
  </si>
  <si>
    <t>kaleyn boryana - 33</t>
  </si>
  <si>
    <t>Akbar DJURAEV</t>
  </si>
  <si>
    <t>akbar djuraev - 216</t>
  </si>
  <si>
    <t>DJURAEV Akbar</t>
  </si>
  <si>
    <t>Nadia BATTOCLETTI</t>
  </si>
  <si>
    <t>nadia battocletti - 104</t>
  </si>
  <si>
    <t>BATTOCLETTI Nadia</t>
  </si>
  <si>
    <t>Ilia SULAMANIDZE</t>
  </si>
  <si>
    <t>ilia sulamanidze - 80</t>
  </si>
  <si>
    <t>SULAMANIDZE Ilia</t>
  </si>
  <si>
    <t>Givi MATCHARASHVILI</t>
  </si>
  <si>
    <t>givi matcharashvili - 80</t>
  </si>
  <si>
    <t>MATCHARASHVILI Givi</t>
  </si>
  <si>
    <t>Donna VEKIC</t>
  </si>
  <si>
    <t>donna vekic - 53</t>
  </si>
  <si>
    <t>VEKIC Donna</t>
  </si>
  <si>
    <t>Serhiy KULISH</t>
  </si>
  <si>
    <t>serhiy kulish - 212</t>
  </si>
  <si>
    <t>KULISH Serhiy</t>
  </si>
  <si>
    <t>Lauriane NOLOT</t>
  </si>
  <si>
    <t>lauriane nolot - 72</t>
  </si>
  <si>
    <t>NOLOT Lauriane</t>
  </si>
  <si>
    <t>Sara AHMED</t>
  </si>
  <si>
    <t>sara ahmed - 62</t>
  </si>
  <si>
    <t>AHMED Sara</t>
  </si>
  <si>
    <t>Miriam BUTKEREIT</t>
  </si>
  <si>
    <t>miriam butkereit - 82</t>
  </si>
  <si>
    <t>BUTKEREIT Miriam</t>
  </si>
  <si>
    <t>Truls MOREGARD</t>
  </si>
  <si>
    <t>truls moregard - 194</t>
  </si>
  <si>
    <t>MOREGARD Truls</t>
  </si>
  <si>
    <t>Carlos ALCARAZ</t>
  </si>
  <si>
    <t>carlos alcaraz - 66</t>
  </si>
  <si>
    <t>ALCARAZ Carlos</t>
  </si>
  <si>
    <t>Buse Naz CAKIROGLU</t>
  </si>
  <si>
    <t>buse naz cakiroglu - 208</t>
  </si>
  <si>
    <t>CAKIROGLU Buse Naz</t>
  </si>
  <si>
    <t>Hatice AKBAS</t>
  </si>
  <si>
    <t>hatice akbas - 208</t>
  </si>
  <si>
    <t>AKBAS Hatice</t>
  </si>
  <si>
    <t>Meerim ZHUMANAZAROVA</t>
  </si>
  <si>
    <t>meerim zhumanazarova - 111</t>
  </si>
  <si>
    <t>ZHUMANAZAROVA Meerim</t>
  </si>
  <si>
    <t>Tamara CSIPES</t>
  </si>
  <si>
    <t>tamara csipes - 93</t>
  </si>
  <si>
    <t>CSIPES Tamara</t>
  </si>
  <si>
    <t>Julia SZEREMETA</t>
  </si>
  <si>
    <t>julia szeremeta - 164</t>
  </si>
  <si>
    <t>SZEREMETA Julia</t>
  </si>
  <si>
    <t>Adam VARGA</t>
  </si>
  <si>
    <t>adam varga - 93</t>
  </si>
  <si>
    <t>VARGA Adam</t>
  </si>
  <si>
    <t>Yusneylis GUZMAN LOPEZ</t>
  </si>
  <si>
    <t>yusneylis guzman lopez - 54</t>
  </si>
  <si>
    <t>GUZMAN LOPEZ Yusneylis</t>
  </si>
  <si>
    <t>Anastasia NICHITA</t>
  </si>
  <si>
    <t>anastasia nichita - 131</t>
  </si>
  <si>
    <t>NICHITA Anastasia</t>
  </si>
  <si>
    <t>Victor LINDGREN</t>
  </si>
  <si>
    <t>victor lindgren - 194</t>
  </si>
  <si>
    <t>LINDGREN Victor</t>
  </si>
  <si>
    <t>Daria PIKULIK</t>
  </si>
  <si>
    <t>daria pikulik - 164</t>
  </si>
  <si>
    <t>PIKULIK Daria</t>
  </si>
  <si>
    <t>Munarbek SEIITBEK UULU</t>
  </si>
  <si>
    <t>munarbek seiitbek uulu - 111</t>
  </si>
  <si>
    <t>SEIITBEK UULU Munarbek</t>
  </si>
  <si>
    <t>Billal BENNAMA</t>
  </si>
  <si>
    <t>billal bennama - 72</t>
  </si>
  <si>
    <t>BENNAMA Billal</t>
  </si>
  <si>
    <t>Sofiane OUMIHA</t>
  </si>
  <si>
    <t>sofiane oumiha - 72</t>
  </si>
  <si>
    <t>OUMIHA Sofiane</t>
  </si>
  <si>
    <t>Titouan CASTRYCK</t>
  </si>
  <si>
    <t>titouan castryck - 72</t>
  </si>
  <si>
    <t>CASTRYCK Titouan</t>
  </si>
  <si>
    <t>Angele HUG</t>
  </si>
  <si>
    <t>angele hug - 72</t>
  </si>
  <si>
    <t>HUG Angele</t>
  </si>
  <si>
    <t>Svetlana OSIPOVA</t>
  </si>
  <si>
    <t>svetlana osipova - 216</t>
  </si>
  <si>
    <t>OSIPOVA Svetlana</t>
  </si>
  <si>
    <t>SATO Taishu</t>
  </si>
  <si>
    <t>sato taishu - 108</t>
  </si>
  <si>
    <t>Camille JEDRZEJEWSKI</t>
  </si>
  <si>
    <t>camille jedrzejewski - 72</t>
  </si>
  <si>
    <t>JEDRZEJEWSKI Camille</t>
  </si>
  <si>
    <t>Lea FRIEDRICH</t>
  </si>
  <si>
    <t>lea friedrich - 82</t>
  </si>
  <si>
    <t>FRIEDRICH Lea</t>
  </si>
  <si>
    <t>Luka MKHEIDZE</t>
  </si>
  <si>
    <t>luka mkheidze - 72</t>
  </si>
  <si>
    <t>MKHEIDZE Luka</t>
  </si>
  <si>
    <t>Joan-Benjamin GABA</t>
  </si>
  <si>
    <t>joan-benjamin gaba - 72</t>
  </si>
  <si>
    <t>GABA Joan-Benjamin</t>
  </si>
  <si>
    <t>TAMAI Rikuto</t>
  </si>
  <si>
    <t>tamai rikuto - 108</t>
  </si>
  <si>
    <t>ANRAKU Sorato</t>
  </si>
  <si>
    <t>anraku sorato - 108</t>
  </si>
  <si>
    <t>Esther HENSELEIT</t>
  </si>
  <si>
    <t>esther henseleit - 82</t>
  </si>
  <si>
    <t>HENSELEIT Esther</t>
  </si>
  <si>
    <t>Inbar LANIR</t>
  </si>
  <si>
    <t>inbar lanir - 102</t>
  </si>
  <si>
    <t>LANIR Inbar</t>
  </si>
  <si>
    <t>Raz HERSHKO</t>
  </si>
  <si>
    <t>raz hershko - 102</t>
  </si>
  <si>
    <t>HERSHKO Raz</t>
  </si>
  <si>
    <t>CHO Yeongjae</t>
  </si>
  <si>
    <t>cho yeongjae - 113</t>
  </si>
  <si>
    <t>KIM Yeji</t>
  </si>
  <si>
    <t>kim yeji - 113</t>
  </si>
  <si>
    <t>Karsten WARHOLM</t>
  </si>
  <si>
    <t>karsten warholm - 151</t>
  </si>
  <si>
    <t>WARHOLM Karsten</t>
  </si>
  <si>
    <t>PARK Hyejeong</t>
  </si>
  <si>
    <t>park hyejeong - 113</t>
  </si>
  <si>
    <t>Anne-Marie RINDOM</t>
  </si>
  <si>
    <t>anne-marie rindom - 57</t>
  </si>
  <si>
    <t>RINDOM Anne-Marie</t>
  </si>
  <si>
    <t>Sylvain ANDRE</t>
  </si>
  <si>
    <t>sylvain andre - 72</t>
  </si>
  <si>
    <t>ANDRE Sylvain</t>
  </si>
  <si>
    <t>Victor KORETZKY</t>
  </si>
  <si>
    <t>victor koretzky - 72</t>
  </si>
  <si>
    <t>KORETZKY Victor</t>
  </si>
  <si>
    <t>Valentin MADOUAS</t>
  </si>
  <si>
    <t>valentin madouas - 72</t>
  </si>
  <si>
    <t>MADOUAS Valentin</t>
  </si>
  <si>
    <t>Adam BURGESS</t>
  </si>
  <si>
    <t>adam burgess - 77</t>
  </si>
  <si>
    <t>BURGESS Adam</t>
  </si>
  <si>
    <t>Joseph CLARKE</t>
  </si>
  <si>
    <t>joseph clarke - 77</t>
  </si>
  <si>
    <t>CLARKE Joseph</t>
  </si>
  <si>
    <t>Caden CUNNINGHAM</t>
  </si>
  <si>
    <t>caden cunningham - 77</t>
  </si>
  <si>
    <t>CUNNINGHAM Caden</t>
  </si>
  <si>
    <t>MURAO Sanshiro</t>
  </si>
  <si>
    <t>murao sanshiro - 108</t>
  </si>
  <si>
    <t>Iryna KOLIADENKO</t>
  </si>
  <si>
    <t>iryna koliadenko - 212</t>
  </si>
  <si>
    <t>KOLIADENKO Iryna</t>
  </si>
  <si>
    <t>Illia KOVTUN</t>
  </si>
  <si>
    <t>illia kovtun - 212</t>
  </si>
  <si>
    <t>KOVTUN Illia</t>
  </si>
  <si>
    <t>Theerapong SILACHAI</t>
  </si>
  <si>
    <t>theerapong silachai - 200</t>
  </si>
  <si>
    <t>SILACHAI Theerapong</t>
  </si>
  <si>
    <t>Weeraphon WICHUMA</t>
  </si>
  <si>
    <t>weeraphon wichuma - 200</t>
  </si>
  <si>
    <t>WICHUMA Weeraphon</t>
  </si>
  <si>
    <t>Tigst ASSEFA</t>
  </si>
  <si>
    <t>tigst assefa - 68</t>
  </si>
  <si>
    <t>ASSEFA Tigst</t>
  </si>
  <si>
    <t>CHEN Yuxi</t>
  </si>
  <si>
    <t>chen yuxi - 42</t>
  </si>
  <si>
    <t>WANG Zongyuan</t>
  </si>
  <si>
    <t>wang zongyuan - 42</t>
  </si>
  <si>
    <t>AKAMA Liz</t>
  </si>
  <si>
    <t>akama liz - 108</t>
  </si>
  <si>
    <t>HIRAKI Cocona</t>
  </si>
  <si>
    <t>hiraki cocona - 108</t>
  </si>
  <si>
    <t>NAM Suhyeon</t>
  </si>
  <si>
    <t>nam suhyeon - 113</t>
  </si>
  <si>
    <t>SUN Yingsha</t>
  </si>
  <si>
    <t>sun yingsha - 42</t>
  </si>
  <si>
    <t>Benjamin PROUD</t>
  </si>
  <si>
    <t>benjamin proud - 77</t>
  </si>
  <si>
    <t>PROUD Benjamin</t>
  </si>
  <si>
    <t>Matthew RICHARDS</t>
  </si>
  <si>
    <t>matthew richards - 77</t>
  </si>
  <si>
    <t>RICHARDS Matthew</t>
  </si>
  <si>
    <t>Duncan SCOTT</t>
  </si>
  <si>
    <t>duncan scott - 77</t>
  </si>
  <si>
    <t>SCOTT Duncan</t>
  </si>
  <si>
    <t>Pavlos KONTIDES</t>
  </si>
  <si>
    <t>pavlos kontides - 55</t>
  </si>
  <si>
    <t>KONTIDES Pavlos</t>
  </si>
  <si>
    <t>Maria PEREZ</t>
  </si>
  <si>
    <t>maria perez - 66</t>
  </si>
  <si>
    <t>PEREZ Maria</t>
  </si>
  <si>
    <t>Oliver KLEMET</t>
  </si>
  <si>
    <t>oliver klemet - 82</t>
  </si>
  <si>
    <t>KLEMET Oliver</t>
  </si>
  <si>
    <t>Artem DOLGOPYAT</t>
  </si>
  <si>
    <t>artem dolgopyat - 102</t>
  </si>
  <si>
    <t>DOLGOPYAT Artem</t>
  </si>
  <si>
    <t>Anastasiia KIRPICHNIKOVA</t>
  </si>
  <si>
    <t>anastasiia kirpichnikova - 72</t>
  </si>
  <si>
    <t>KIRPICHNIKOVA Anastasiia</t>
  </si>
  <si>
    <t>GUO Qing</t>
  </si>
  <si>
    <t>guo qing - 42</t>
  </si>
  <si>
    <t>Cyrena SAMBA-MAYELA</t>
  </si>
  <si>
    <t>cyrena samba-mayela - 72</t>
  </si>
  <si>
    <t>SAMBA-MAYELA Cyrena</t>
  </si>
  <si>
    <t>Anna HENDERSON</t>
  </si>
  <si>
    <t>anna henderson - 77</t>
  </si>
  <si>
    <t>HENDERSON Anna</t>
  </si>
  <si>
    <t>Kieran Darren David REILLY</t>
  </si>
  <si>
    <t>kieran darren david reilly - 77</t>
  </si>
  <si>
    <t>REILLY Kieran Darren David</t>
  </si>
  <si>
    <t>HE Bing Jiao</t>
  </si>
  <si>
    <t>he bing jiao - 42</t>
  </si>
  <si>
    <t>WU Peng</t>
  </si>
  <si>
    <t>wu peng - 42</t>
  </si>
  <si>
    <t>DENG Lijuan</t>
  </si>
  <si>
    <t>deng lijuan - 42</t>
  </si>
  <si>
    <t>Elena LILIK</t>
  </si>
  <si>
    <t>elena lilik - 82</t>
  </si>
  <si>
    <t>LILIK Elena</t>
  </si>
  <si>
    <t>QI Ying</t>
  </si>
  <si>
    <t>qi ying - 42</t>
  </si>
  <si>
    <t>HUANG Yuting</t>
  </si>
  <si>
    <t>huang yuting - 42</t>
  </si>
  <si>
    <t>Baasankhuu BAVUUDORJ</t>
  </si>
  <si>
    <t>baasankhuu bavuudorj - 134</t>
  </si>
  <si>
    <t>BAVUUDORJ Baasankhuu</t>
  </si>
  <si>
    <t>Isabell WERTH</t>
  </si>
  <si>
    <t>isabell werth - 82</t>
  </si>
  <si>
    <t>WERTH Isabell</t>
  </si>
  <si>
    <t>Silvana Maria STANCO</t>
  </si>
  <si>
    <t>silvana maria stanco - 104</t>
  </si>
  <si>
    <t>STANCO Silvana Maria</t>
  </si>
  <si>
    <t>Salwa Eid NASER</t>
  </si>
  <si>
    <t>salwa eid naser - 31</t>
  </si>
  <si>
    <t>NASER Salwa Eid</t>
  </si>
  <si>
    <t>Artur DAVTYAN</t>
  </si>
  <si>
    <t>artur davtyan - 10</t>
  </si>
  <si>
    <t>DAVTYAN Artur</t>
  </si>
  <si>
    <t>Auriane MALLO-BRETON</t>
  </si>
  <si>
    <t>auriane mallo-breton - 72</t>
  </si>
  <si>
    <t>MALLO-BRETON Auriane</t>
  </si>
  <si>
    <t>Yannick BOREL</t>
  </si>
  <si>
    <t>yannick borel - 72</t>
  </si>
  <si>
    <t>BOREL Yannick</t>
  </si>
  <si>
    <t>Sara BALZER</t>
  </si>
  <si>
    <t>sara balzer - 72</t>
  </si>
  <si>
    <t>BALZER Sara</t>
  </si>
  <si>
    <t>Bence HALASZ</t>
  </si>
  <si>
    <t>bence halasz - 93</t>
  </si>
  <si>
    <t>HALASZ Bence</t>
  </si>
  <si>
    <t>WANG Zisai</t>
  </si>
  <si>
    <t>wang zisai - 42</t>
  </si>
  <si>
    <t>ZHANG Boheng</t>
  </si>
  <si>
    <t>zhang boheng - 42</t>
  </si>
  <si>
    <t>QIU Qiyuan</t>
  </si>
  <si>
    <t>qiu qiyuan - 42</t>
  </si>
  <si>
    <t>ZHOU Yaqin</t>
  </si>
  <si>
    <t>zhou yaqin - 42</t>
  </si>
  <si>
    <t>FENG Bin</t>
  </si>
  <si>
    <t>feng bin - 42</t>
  </si>
  <si>
    <t>CAO Liguo</t>
  </si>
  <si>
    <t>cao liguo - 42</t>
  </si>
  <si>
    <t>Malaika MIHAMBO</t>
  </si>
  <si>
    <t>malaika mihambo - 82</t>
  </si>
  <si>
    <t>MIHAMBO Malaika</t>
  </si>
  <si>
    <t>Leo NEUGEBAUER</t>
  </si>
  <si>
    <t>leo neugebauer - 82</t>
  </si>
  <si>
    <t>NEUGEBAUER Leo</t>
  </si>
  <si>
    <t>Mykolas ALEKNA</t>
  </si>
  <si>
    <t>mykolas alekna - 125</t>
  </si>
  <si>
    <t>ALEKNA Mykolas</t>
  </si>
  <si>
    <t>Filippo GANNA</t>
  </si>
  <si>
    <t>filippo ganna - 104</t>
  </si>
  <si>
    <t>GANNA Filippo</t>
  </si>
  <si>
    <t>Tommy FLEETWOOD</t>
  </si>
  <si>
    <t>tommy fleetwood - 77</t>
  </si>
  <si>
    <t>FLEETWOOD Tommy</t>
  </si>
  <si>
    <t>Filippo MACCHI</t>
  </si>
  <si>
    <t>filippo macchi - 104</t>
  </si>
  <si>
    <t>MACCHI Filippo</t>
  </si>
  <si>
    <t>Matthew HUDSON-SMITH</t>
  </si>
  <si>
    <t>matthew hudson-smith - 77</t>
  </si>
  <si>
    <t>HUDSON-SMITH Matthew</t>
  </si>
  <si>
    <t>Josh KERR</t>
  </si>
  <si>
    <t>josh kerr - 77</t>
  </si>
  <si>
    <t>KERR Josh</t>
  </si>
  <si>
    <t>Gregorio PALTRINIERI</t>
  </si>
  <si>
    <t>gregorio paltrinieri - 104</t>
  </si>
  <si>
    <t>PALTRINIERI Gregorio</t>
  </si>
  <si>
    <t>Kunlavut VITIDSARN</t>
  </si>
  <si>
    <t>kunlavut vitidsarn - 200</t>
  </si>
  <si>
    <t>VITIDSARN Kunlavut</t>
  </si>
  <si>
    <t>Hayden WILDE</t>
  </si>
  <si>
    <t>hayden wilde - 153</t>
  </si>
  <si>
    <t>WILDE Hayden</t>
  </si>
  <si>
    <t>Maddison-Lee WESCHE</t>
  </si>
  <si>
    <t>maddison-lee wesche - 153</t>
  </si>
  <si>
    <t>WESCHE Maddison-Lee</t>
  </si>
  <si>
    <t>YANG Liu</t>
  </si>
  <si>
    <t>yang liu - 42</t>
  </si>
  <si>
    <t>YANG Wenlu</t>
  </si>
  <si>
    <t>yang wenlu - 42</t>
  </si>
  <si>
    <t>Emma TWIGG</t>
  </si>
  <si>
    <t>emma twigg - 153</t>
  </si>
  <si>
    <t>TWIGG Emma</t>
  </si>
  <si>
    <t>Sharon KANTOR</t>
  </si>
  <si>
    <t>sharon kantor - 102</t>
  </si>
  <si>
    <t>KANTOR Sharon</t>
  </si>
  <si>
    <t>HUH Mimi</t>
  </si>
  <si>
    <t>huh mimi - 113</t>
  </si>
  <si>
    <t>KIM Minjong</t>
  </si>
  <si>
    <t>kim minjong - 113</t>
  </si>
  <si>
    <t>Nariman KURBANOV</t>
  </si>
  <si>
    <t>nariman kurbanov - 109</t>
  </si>
  <si>
    <t>KURBANOV Nariman</t>
  </si>
  <si>
    <t>Nurbek ORALBAY</t>
  </si>
  <si>
    <t>nurbek oralbay - 109</t>
  </si>
  <si>
    <t>ORALBAY Nurbek</t>
  </si>
  <si>
    <t>Iuri LEITAO</t>
  </si>
  <si>
    <t>iuri leitao - 165</t>
  </si>
  <si>
    <t>LEITAO Iuri</t>
  </si>
  <si>
    <t>Ayoub GHADFA DRISSI EL AISSAOUI</t>
  </si>
  <si>
    <t>ayoub ghadfa drissi el aissaoui - 66</t>
  </si>
  <si>
    <t>GHADFA DRISSI EL AISSAOUI Ayoub</t>
  </si>
  <si>
    <t>Yasmani ACOSTA FERNANDEZ</t>
  </si>
  <si>
    <t>yasmani acosta fernandez - 41</t>
  </si>
  <si>
    <t>ACOSTA FERNANDEZ Yasmani</t>
  </si>
  <si>
    <t>Angel BARAJAS</t>
  </si>
  <si>
    <t>angel barajas - 48</t>
  </si>
  <si>
    <t>BARAJAS Angel</t>
  </si>
  <si>
    <t>Fares FERJANI</t>
  </si>
  <si>
    <t>fares ferjani - 207</t>
  </si>
  <si>
    <t>FERJANI Fares</t>
  </si>
  <si>
    <t>Viyaleta BARDZILOUSKAYA</t>
  </si>
  <si>
    <t>viyaleta bardzilouskaya - 3</t>
  </si>
  <si>
    <t>BARDZILOUSKAYA Viyaleta</t>
  </si>
  <si>
    <t>Pedro PICHARDO</t>
  </si>
  <si>
    <t>pedro pichardo - 165</t>
  </si>
  <si>
    <t>PICHARDO Pedro</t>
  </si>
  <si>
    <t>Wayne PINNOCK</t>
  </si>
  <si>
    <t>wayne pinnock - 106</t>
  </si>
  <si>
    <t>PINNOCK Wayne</t>
  </si>
  <si>
    <t>TAKATANI Daichi</t>
  </si>
  <si>
    <t>takatani daichi - 108</t>
  </si>
  <si>
    <t>Jessica HULL</t>
  </si>
  <si>
    <t>jessica hull - 13</t>
  </si>
  <si>
    <t>HULL Jessica</t>
  </si>
  <si>
    <t>Nicola OLYSLAGERS</t>
  </si>
  <si>
    <t>nicola olyslagers - 13</t>
  </si>
  <si>
    <t>OLYSLAGERS Nicola</t>
  </si>
  <si>
    <t>Matthew RICHARDSON</t>
  </si>
  <si>
    <t>matthew richardson - 13</t>
  </si>
  <si>
    <t>RICHARDSON Matthew</t>
  </si>
  <si>
    <t>Maddison KEENEY</t>
  </si>
  <si>
    <t>maddison keeney - 13</t>
  </si>
  <si>
    <t>KEENEY Maddison</t>
  </si>
  <si>
    <t>Christopher BURTON</t>
  </si>
  <si>
    <t>christopher burton - 13</t>
  </si>
  <si>
    <t>BURTON Christopher</t>
  </si>
  <si>
    <t>Klaudia ZWOLINSKA</t>
  </si>
  <si>
    <t>klaudia zwolinska - 164</t>
  </si>
  <si>
    <t>ZWOLINSKA Klaudia</t>
  </si>
  <si>
    <t>Bashir ABDI</t>
  </si>
  <si>
    <t>bashir abdi - 20</t>
  </si>
  <si>
    <t>ABDI Bashir</t>
  </si>
  <si>
    <t>XU Jiayu</t>
  </si>
  <si>
    <t>xu jiayu - 42</t>
  </si>
  <si>
    <t>TANG Qianting</t>
  </si>
  <si>
    <t>tang qianting - 42</t>
  </si>
  <si>
    <t>Moesha JOHNSON</t>
  </si>
  <si>
    <t>moesha johnson - 13</t>
  </si>
  <si>
    <t>JOHNSON Moesha</t>
  </si>
  <si>
    <t>Grae MORRIS</t>
  </si>
  <si>
    <t>grae morris - 13</t>
  </si>
  <si>
    <t>MORRIS Grae</t>
  </si>
  <si>
    <t>Jack ROBINSON</t>
  </si>
  <si>
    <t>jack robinson - 13</t>
  </si>
  <si>
    <t>ROBINSON Jack</t>
  </si>
  <si>
    <t>Elijah WINNINGTON</t>
  </si>
  <si>
    <t>elijah winnington - 13</t>
  </si>
  <si>
    <t>WINNINGTON Elijah</t>
  </si>
  <si>
    <t>Zac STUBBLETY-COOK</t>
  </si>
  <si>
    <t>zac stubblety-cook - 13</t>
  </si>
  <si>
    <t>STUBBLETY-COOK Zac</t>
  </si>
  <si>
    <t>Kyle CHALMERS</t>
  </si>
  <si>
    <t>kyle chalmers - 13</t>
  </si>
  <si>
    <t>CHALMERS Kyle</t>
  </si>
  <si>
    <t>Meg HARRIS</t>
  </si>
  <si>
    <t>meg harris - 13</t>
  </si>
  <si>
    <t>HARRIS Meg</t>
  </si>
  <si>
    <t>Gashim MAGOMEDOV</t>
  </si>
  <si>
    <t>gashim magomedov - 15</t>
  </si>
  <si>
    <t>MAGOMEDOV Gashim</t>
  </si>
  <si>
    <t>Caio BONFIM</t>
  </si>
  <si>
    <t>caio bonfim - 30</t>
  </si>
  <si>
    <t>BONFIM Caio</t>
  </si>
  <si>
    <t>Isaquias QUEIROZ</t>
  </si>
  <si>
    <t>isaquias queiroz - 30</t>
  </si>
  <si>
    <t>QUEIROZ Isaquias</t>
  </si>
  <si>
    <t>Willian LIMA</t>
  </si>
  <si>
    <t>willian lima - 30</t>
  </si>
  <si>
    <t>LIMA Willian</t>
  </si>
  <si>
    <t>Apostolos CHRISTOU</t>
  </si>
  <si>
    <t>apostolos christou - 84</t>
  </si>
  <si>
    <t>CHRISTOU Apostolos</t>
  </si>
  <si>
    <t>Tatiana WESTON-WEBB</t>
  </si>
  <si>
    <t>tatiana weston-webb - 30</t>
  </si>
  <si>
    <t>WESTON-WEBB Tatiana</t>
  </si>
  <si>
    <t>Aleksandra PERISIC</t>
  </si>
  <si>
    <t>aleksandra perisic - 186</t>
  </si>
  <si>
    <t>PERISIC Aleksandra</t>
  </si>
  <si>
    <t>Adam PEATY</t>
  </si>
  <si>
    <t>adam peaty - 77</t>
  </si>
  <si>
    <t>PEATY Adam</t>
  </si>
  <si>
    <t>Demeu ZHADRAYEV</t>
  </si>
  <si>
    <t>demeu zhadrayev - 109</t>
  </si>
  <si>
    <t>ZHADRAYEV Demeu</t>
  </si>
  <si>
    <t>Lucia Yamileth YEPEZ GUZMAN</t>
  </si>
  <si>
    <t>lucia yamileth yepez guzman - 61</t>
  </si>
  <si>
    <t>YEPEZ GUZMAN Lucia Yamileth</t>
  </si>
  <si>
    <t>Ronald KWEMOI</t>
  </si>
  <si>
    <t>ronald kwemoi - 110</t>
  </si>
  <si>
    <t>KWEMOI Ronald</t>
  </si>
  <si>
    <t>MATSUSHITA Tomoyuki</t>
  </si>
  <si>
    <t>matsushita tomoyuki - 108</t>
  </si>
  <si>
    <t>Atheyna Bibeichi BYLON</t>
  </si>
  <si>
    <t>atheyna bibeichi bylon - 157</t>
  </si>
  <si>
    <t>BYLON Atheyna Bibeichi</t>
  </si>
  <si>
    <t>Maude CHARRON</t>
  </si>
  <si>
    <t>maude charron - 37</t>
  </si>
  <si>
    <t>CHARRON Maude</t>
  </si>
  <si>
    <t>Josh LIENDO</t>
  </si>
  <si>
    <t>josh liendo - 37</t>
  </si>
  <si>
    <t>LIENDO Josh</t>
  </si>
  <si>
    <t>Marianne VOS</t>
  </si>
  <si>
    <t>marianne vos - 147</t>
  </si>
  <si>
    <t>VOS Marianne</t>
  </si>
  <si>
    <t>Manon VEENSTRA</t>
  </si>
  <si>
    <t>manon veenstra - 147</t>
  </si>
  <si>
    <t>VEENSTRA Manon</t>
  </si>
  <si>
    <t>Peruth CHEMUTAI</t>
  </si>
  <si>
    <t>peruth chemutai - 211</t>
  </si>
  <si>
    <t>CHEMUTAI Peruth</t>
  </si>
  <si>
    <t>Loren Berto ALFONSO DOMINGUEZ</t>
  </si>
  <si>
    <t>loren berto alfonso dominguez - 15</t>
  </si>
  <si>
    <t>ALFONSO DOMINGUEZ Loren Berto</t>
  </si>
  <si>
    <t>Marco AROP</t>
  </si>
  <si>
    <t>marco arop - 37</t>
  </si>
  <si>
    <t>AROP Marco</t>
  </si>
  <si>
    <t>Julie DERRON</t>
  </si>
  <si>
    <t>julie derron - 191</t>
  </si>
  <si>
    <t>DERRON Julie</t>
  </si>
  <si>
    <t>Steve GUERDAT</t>
  </si>
  <si>
    <t>steve guerdat - 191</t>
  </si>
  <si>
    <t>GUERDAT Steve</t>
  </si>
  <si>
    <t>Amber Jo RUTTER</t>
  </si>
  <si>
    <t>amber jo rutter - 77</t>
  </si>
  <si>
    <t>RUTTER Amber Jo</t>
  </si>
  <si>
    <t>JOHNSON-THOMPSON Katarina</t>
  </si>
  <si>
    <t>johnson-thompson katarina - 77</t>
  </si>
  <si>
    <t>Kishane THOMPSON</t>
  </si>
  <si>
    <t>kishane thompson - 106</t>
  </si>
  <si>
    <t>THOMPSON Kishane</t>
  </si>
  <si>
    <t>Toni VODISEK</t>
  </si>
  <si>
    <t>toni vodisek - 182</t>
  </si>
  <si>
    <t>VODISEK Toni</t>
  </si>
  <si>
    <t>Malkhas AMOYAN</t>
  </si>
  <si>
    <t>malkhas amoyan - 10</t>
  </si>
  <si>
    <t>AMOYAN Malkhas</t>
  </si>
  <si>
    <t>Tatiana RENTERIA RENTERIA</t>
  </si>
  <si>
    <t>tatiana renteria renteria - 48</t>
  </si>
  <si>
    <t>RENTERIA RENTERIA Tatiana</t>
  </si>
  <si>
    <t>Paolo MONNA</t>
  </si>
  <si>
    <t>paolo monna - 104</t>
  </si>
  <si>
    <t>MONNA Paolo</t>
  </si>
  <si>
    <t>Osmar OLVERA IBARRA</t>
  </si>
  <si>
    <t>osmar olvera ibarra - 133</t>
  </si>
  <si>
    <t>OLVERA IBARRA Osmar</t>
  </si>
  <si>
    <t>Mobina NEMATZADEH</t>
  </si>
  <si>
    <t>mobina nematzadeh - 98</t>
  </si>
  <si>
    <t>NEMATZADEH Mobina</t>
  </si>
  <si>
    <t>Manu BHAKER</t>
  </si>
  <si>
    <t>manu bhaker - 95</t>
  </si>
  <si>
    <t>BHAKER Manu</t>
  </si>
  <si>
    <t>Maximilian MAEDER</t>
  </si>
  <si>
    <t>maximilian maeder - 179</t>
  </si>
  <si>
    <t>MAEDER Maximilian</t>
  </si>
  <si>
    <t>Jasmine CAMACHO-QUINN</t>
  </si>
  <si>
    <t>jasmine camacho-quinn - 167</t>
  </si>
  <si>
    <t>CAMACHO-QUINN Jasmine</t>
  </si>
  <si>
    <t>Laura FAZLIU</t>
  </si>
  <si>
    <t>laura fazliu - 114</t>
  </si>
  <si>
    <t>FAZLIU Laura</t>
  </si>
  <si>
    <t>Swapnil KUSALE</t>
  </si>
  <si>
    <t>swapnil kusale - 95</t>
  </si>
  <si>
    <t>KUSALE Swapnil</t>
  </si>
  <si>
    <t>Leo BERGERE</t>
  </si>
  <si>
    <t>leo bergere - 72</t>
  </si>
  <si>
    <t>BERGERE Leo</t>
  </si>
  <si>
    <t>Lisa BARBELIN</t>
  </si>
  <si>
    <t>lisa barbelin - 72</t>
  </si>
  <si>
    <t>BARBELIN Lisa</t>
  </si>
  <si>
    <t>Gor MINASYAN</t>
  </si>
  <si>
    <t>gor minasyan - 31</t>
  </si>
  <si>
    <t>MINASYAN Gor</t>
  </si>
  <si>
    <t>Lasha GURULI</t>
  </si>
  <si>
    <t>lasha guruli - 80</t>
  </si>
  <si>
    <t>GURULI Lasha</t>
  </si>
  <si>
    <t>Ana BARBOSU</t>
  </si>
  <si>
    <t>ana barbosu - 171</t>
  </si>
  <si>
    <t>BARBOSU Ana</t>
  </si>
  <si>
    <t>Amirali AZARPIRA</t>
  </si>
  <si>
    <t>amirali azarpira - 98</t>
  </si>
  <si>
    <t>AZARPIRA Amirali</t>
  </si>
  <si>
    <t>Sky BROWN</t>
  </si>
  <si>
    <t>sky brown - 77</t>
  </si>
  <si>
    <t>BROWN Sky</t>
  </si>
  <si>
    <t>Amin MIRZAZADEH</t>
  </si>
  <si>
    <t>amin mirzazadeh - 98</t>
  </si>
  <si>
    <t>MIRZAZADEH Amin</t>
  </si>
  <si>
    <t>Emily CAMPBELL</t>
  </si>
  <si>
    <t>emily campbell - 77</t>
  </si>
  <si>
    <t>CAMPBELL Emily</t>
  </si>
  <si>
    <t>Zhan BELENIUK</t>
  </si>
  <si>
    <t>zhan beleniuk - 212</t>
  </si>
  <si>
    <t>BELENIUK Zhan</t>
  </si>
  <si>
    <t>Serghei TARNOVSCHI</t>
  </si>
  <si>
    <t>serghei tarnovschi - 131</t>
  </si>
  <si>
    <t>TARNOVSCHI Serghei</t>
  </si>
  <si>
    <t>Cheick Sallah CISSE</t>
  </si>
  <si>
    <t>cheick sallah cisse - 44</t>
  </si>
  <si>
    <t>CISSE Cheick Sallah</t>
  </si>
  <si>
    <t>Andy DIAZ HERNANDEZ</t>
  </si>
  <si>
    <t>andy diaz hernandez - 104</t>
  </si>
  <si>
    <t>DIAZ HERNANDEZ Andy</t>
  </si>
  <si>
    <t>Mattia FURLANI</t>
  </si>
  <si>
    <t>mattia furlani - 104</t>
  </si>
  <si>
    <t>FURLANI Mattia</t>
  </si>
  <si>
    <t>Giorgio MALAN</t>
  </si>
  <si>
    <t>giorgio malan - 104</t>
  </si>
  <si>
    <t>MALAN Giorgio</t>
  </si>
  <si>
    <t>Javier IBANEZ DIAZ</t>
  </si>
  <si>
    <t>javier ibanez diaz - 33</t>
  </si>
  <si>
    <t>IBANEZ DIAZ Javier</t>
  </si>
  <si>
    <t>Arlen LOPEZ CARDONA</t>
  </si>
  <si>
    <t>arlen lopez cardona - 54</t>
  </si>
  <si>
    <t>LOPEZ CARDONA Arlen</t>
  </si>
  <si>
    <t>Islam DUDAEV</t>
  </si>
  <si>
    <t>islam dudaev - 4</t>
  </si>
  <si>
    <t>DUDAEV Islam</t>
  </si>
  <si>
    <t>Jessica PILZ</t>
  </si>
  <si>
    <t>jessica pilz - 14</t>
  </si>
  <si>
    <t>PILZ Jessica</t>
  </si>
  <si>
    <t>Jakob SCHUBERT</t>
  </si>
  <si>
    <t>jakob schubert - 14</t>
  </si>
  <si>
    <t>SCHUBERT Jakob</t>
  </si>
  <si>
    <t>Manila ESPOSITO</t>
  </si>
  <si>
    <t>manila esposito - 104</t>
  </si>
  <si>
    <t>ESPOSITO Manila</t>
  </si>
  <si>
    <t>Denis VIERU</t>
  </si>
  <si>
    <t>denis vieru - 131</t>
  </si>
  <si>
    <t>VIERU Denis</t>
  </si>
  <si>
    <t>Gulomjon ABDULLAEV</t>
  </si>
  <si>
    <t>gulomjon abdullaev - 216</t>
  </si>
  <si>
    <t>ABDULLAEV Gulomjon</t>
  </si>
  <si>
    <t>Lorenzo MUSETTI</t>
  </si>
  <si>
    <t>lorenzo musetti - 104</t>
  </si>
  <si>
    <t>MUSETTI Lorenzo</t>
  </si>
  <si>
    <t>Mohamed ELSAYED</t>
  </si>
  <si>
    <t>mohamed elsayed - 62</t>
  </si>
  <si>
    <t>ELSAYED Mohamed</t>
  </si>
  <si>
    <t>Aleksandra KALUCKA</t>
  </si>
  <si>
    <t>aleksandra kalucka - 164</t>
  </si>
  <si>
    <t>KALUCKA Aleksandra</t>
  </si>
  <si>
    <t>Adil OSMANOV</t>
  </si>
  <si>
    <t>adil osmanov - 131</t>
  </si>
  <si>
    <t>OSMANOV Adil</t>
  </si>
  <si>
    <t>Francisco GARRIGOS</t>
  </si>
  <si>
    <t>francisco garrigos - 66</t>
  </si>
  <si>
    <t>GARRIGOS Francisco</t>
  </si>
  <si>
    <t>Jenny RISSVEDS</t>
  </si>
  <si>
    <t>jenny rissveds - 194</t>
  </si>
  <si>
    <t>RISSVEDS Jenny</t>
  </si>
  <si>
    <t>Rajindra CAMPBELL</t>
  </si>
  <si>
    <t>rajindra campbell - 106</t>
  </si>
  <si>
    <t>CAMPBELL Rajindra</t>
  </si>
  <si>
    <t>Yarisleidis CIRILO DUBOYS</t>
  </si>
  <si>
    <t>yarisleidis cirilo duboys - 54</t>
  </si>
  <si>
    <t>CIRILO DUBOYS Yarisleidis</t>
  </si>
  <si>
    <t>Muzaffarbek TUROBOYEV</t>
  </si>
  <si>
    <t>muzaffarbek turoboyev - 216</t>
  </si>
  <si>
    <t>TUROBOYEV Muzaffarbek</t>
  </si>
  <si>
    <t>Michaela POLLERES</t>
  </si>
  <si>
    <t>michaela polleres - 14</t>
  </si>
  <si>
    <t>POLLERES Michaela</t>
  </si>
  <si>
    <t>Uzur DZHUZUPBEKOV</t>
  </si>
  <si>
    <t>uzur dzhuzupbekov - 111</t>
  </si>
  <si>
    <t>DZHUZUPBEKOV Uzur</t>
  </si>
  <si>
    <t>Zii Jia LEE</t>
  </si>
  <si>
    <t>zii jia lee - 129</t>
  </si>
  <si>
    <t>LEE Zii Jia</t>
  </si>
  <si>
    <t>Akzhol MAKHMUDOV</t>
  </si>
  <si>
    <t>akzhol makhmudov - 111</t>
  </si>
  <si>
    <t>MAKHMUDOV Akzhol</t>
  </si>
  <si>
    <t>Zholaman SHARSHENBEKOV</t>
  </si>
  <si>
    <t>zholaman sharshenbekov - 111</t>
  </si>
  <si>
    <t>SHARSHENBEKOV Zholaman</t>
  </si>
  <si>
    <t>Mutaz Essa BARSHIM</t>
  </si>
  <si>
    <t>mutaz essa barshim - 168</t>
  </si>
  <si>
    <t>BARSHIM Mutaz Essa</t>
  </si>
  <si>
    <t>Nafia KUS AYDIN</t>
  </si>
  <si>
    <t>nafia kus aydin - 208</t>
  </si>
  <si>
    <t>KUS AYDIN Nafia</t>
  </si>
  <si>
    <t>Alisher YUSUPOV</t>
  </si>
  <si>
    <t>alisher yusupov - 216</t>
  </si>
  <si>
    <t>YUSUPOV Alisher</t>
  </si>
  <si>
    <t>Johanne DEFAY</t>
  </si>
  <si>
    <t>johanne defay - 72</t>
  </si>
  <si>
    <t>DEFAY Johanne</t>
  </si>
  <si>
    <t>Temur RAKHIMOV</t>
  </si>
  <si>
    <t>temur rakhimov - 201</t>
  </si>
  <si>
    <t>RAKHIMOV Temur</t>
  </si>
  <si>
    <t>Esra YILDIZ KAHRAMAN</t>
  </si>
  <si>
    <t>esra yildiz kahraman - 208</t>
  </si>
  <si>
    <t>YILDIZ KAHRAMAN Esra</t>
  </si>
  <si>
    <t>Antonino PIZZOLATO</t>
  </si>
  <si>
    <t>antonino pizzolato - 104</t>
  </si>
  <si>
    <t>PIZZOLATO Antonino</t>
  </si>
  <si>
    <t>KUO Hsing-Chun</t>
  </si>
  <si>
    <t>kuo hsing-chun - 205</t>
  </si>
  <si>
    <t>Yauheni TSIKHANTSOU</t>
  </si>
  <si>
    <t>yauheni tsikhantsou - 3</t>
  </si>
  <si>
    <t>TSIKHANTSOU Yauheni</t>
  </si>
  <si>
    <t>LEE Meng Yuan</t>
  </si>
  <si>
    <t>lee meng yuan - 205</t>
  </si>
  <si>
    <t>Balint KOPASZ</t>
  </si>
  <si>
    <t>balint kopasz - 93</t>
  </si>
  <si>
    <t>KOPASZ Balint</t>
  </si>
  <si>
    <t>Lena STOJKOVIC</t>
  </si>
  <si>
    <t>lena stojkovic - 53</t>
  </si>
  <si>
    <t>STOJKOVIC Lena</t>
  </si>
  <si>
    <t>Buse CAVUSOGLU TOSUN</t>
  </si>
  <si>
    <t>buse cavusoglu tosun - 208</t>
  </si>
  <si>
    <t>CAVUSOGLU TOSUN Buse</t>
  </si>
  <si>
    <t>Taha AKGUL</t>
  </si>
  <si>
    <t>taha akgul - 208</t>
  </si>
  <si>
    <t>AKGUL Taha</t>
  </si>
  <si>
    <t>Somon MAKHMADBEKOV</t>
  </si>
  <si>
    <t>somon makhmadbekov - 201</t>
  </si>
  <si>
    <t>MAKHMADBEKOV Somon</t>
  </si>
  <si>
    <t>Luis Alberto ORTA SANCHEZ</t>
  </si>
  <si>
    <t>luis alberto orta sanchez - 54</t>
  </si>
  <si>
    <t>ORTA SANCHEZ Luis Alberto</t>
  </si>
  <si>
    <t>Gabriel Alejandro ROSILLO KINDELAN</t>
  </si>
  <si>
    <t>gabriel alejandro rosillo kindelan - 54</t>
  </si>
  <si>
    <t>ROSILLO KINDELAN Gabriel Alejandro</t>
  </si>
  <si>
    <t>Mykhaylo KOKHAN</t>
  </si>
  <si>
    <t>mykhaylo kokhan - 212</t>
  </si>
  <si>
    <t>KOKHAN Mykhaylo</t>
  </si>
  <si>
    <t>Iryna GERASHCHENKO</t>
  </si>
  <si>
    <t>iryna gerashchenko - 212</t>
  </si>
  <si>
    <t>GERASHCHENKO Iryna</t>
  </si>
  <si>
    <t>Tara BABULFATH</t>
  </si>
  <si>
    <t>tara babulfath - 194</t>
  </si>
  <si>
    <t>BABULFATH Tara</t>
  </si>
  <si>
    <t>Natalia KACZMAREK</t>
  </si>
  <si>
    <t>natalia kaczmarek - 164</t>
  </si>
  <si>
    <t>KACZMAREK Natalia</t>
  </si>
  <si>
    <t>Lindon VICTOR</t>
  </si>
  <si>
    <t>lindon victor - 85</t>
  </si>
  <si>
    <t>VICTOR Lindon</t>
  </si>
  <si>
    <t>Anderson PETERS</t>
  </si>
  <si>
    <t>anderson peters - 85</t>
  </si>
  <si>
    <t>PETERS Anderson</t>
  </si>
  <si>
    <t>SEONG Seungmin</t>
  </si>
  <si>
    <t>seong seungmin - 113</t>
  </si>
  <si>
    <t>TANG Chia-Hung</t>
  </si>
  <si>
    <t>tang chia-hung - 205</t>
  </si>
  <si>
    <t>Line Flem HOEST</t>
  </si>
  <si>
    <t>line flem hoest - 151</t>
  </si>
  <si>
    <t>HOEST Line Flem</t>
  </si>
  <si>
    <t>Grace Jacob BULLEN</t>
  </si>
  <si>
    <t>grace jacob bullen - 151</t>
  </si>
  <si>
    <t>BULLEN Grace Jacob</t>
  </si>
  <si>
    <t>Djamili-Dini ABOUDOU MOINDZE</t>
  </si>
  <si>
    <t>djamili-dini aboudou moindze - 72</t>
  </si>
  <si>
    <t>ABOUDOU MOINDZE Djamili-Dini</t>
  </si>
  <si>
    <t>Turpal Ali BISULTANOV</t>
  </si>
  <si>
    <t>turpal ali bisultanov - 57</t>
  </si>
  <si>
    <t>BISULTANOV Turpal Ali</t>
  </si>
  <si>
    <t>WU Shih Yi</t>
  </si>
  <si>
    <t>wu shih yi - 205</t>
  </si>
  <si>
    <t>CHEN Nien Chin</t>
  </si>
  <si>
    <t>chen nien chin - 205</t>
  </si>
  <si>
    <t>Miran MARICIC</t>
  </si>
  <si>
    <t>miran maricic - 53</t>
  </si>
  <si>
    <t>MARICIC Miran</t>
  </si>
  <si>
    <t>Felix LEBRUN</t>
  </si>
  <si>
    <t>felix lebrun - 72</t>
  </si>
  <si>
    <t>LEBRUN Felix</t>
  </si>
  <si>
    <t>MA Zhenzhao</t>
  </si>
  <si>
    <t>ma zhenzhao - 42</t>
  </si>
  <si>
    <t>Shirine BOUKLI</t>
  </si>
  <si>
    <t>shirine boukli - 72</t>
  </si>
  <si>
    <t>BOUKLI Shirine</t>
  </si>
  <si>
    <t>Amandine BUCHARD</t>
  </si>
  <si>
    <t>amandine buchard - 72</t>
  </si>
  <si>
    <t>BUCHARD Amandine</t>
  </si>
  <si>
    <t>Sarah Leonie CYSIQUE</t>
  </si>
  <si>
    <t>sarah leonie cysique - 72</t>
  </si>
  <si>
    <t>CYSIQUE Sarah Leonie</t>
  </si>
  <si>
    <t>Clarisse AGBEGNENOU</t>
  </si>
  <si>
    <t>clarisse agbegnenou - 72</t>
  </si>
  <si>
    <t>AGBEGNENOU Clarisse</t>
  </si>
  <si>
    <t>Romane DICKO</t>
  </si>
  <si>
    <t>romane dicko - 72</t>
  </si>
  <si>
    <t>DICKO Romane</t>
  </si>
  <si>
    <t>Maxime-Gael NGAYAP HAMBOU</t>
  </si>
  <si>
    <t>maxime-gael ngayap hambou - 72</t>
  </si>
  <si>
    <t>NGAYAP HAMBOU Maxime-Gael</t>
  </si>
  <si>
    <t>IM Aeji</t>
  </si>
  <si>
    <t>im aeji - 113</t>
  </si>
  <si>
    <t>Nikola OGRODNIKOVA</t>
  </si>
  <si>
    <t>nikola ogrodnikova - 56</t>
  </si>
  <si>
    <t>OGRODNIKOVA Nikola</t>
  </si>
  <si>
    <t>Emma Aastrand JORGENSEN</t>
  </si>
  <si>
    <t>emma aastrand jorgensen - 57</t>
  </si>
  <si>
    <t>JORGENSEN Emma Aastrand</t>
  </si>
  <si>
    <t>Peter PALTCHIK</t>
  </si>
  <si>
    <t>peter paltchik - 102</t>
  </si>
  <si>
    <t>PALTCHIK Peter</t>
  </si>
  <si>
    <t>Cyrian RAVET</t>
  </si>
  <si>
    <t>cyrian ravet - 72</t>
  </si>
  <si>
    <t>RAVET Cyrian</t>
  </si>
  <si>
    <t>Cindy Winner DJANKEU NGAMBA</t>
  </si>
  <si>
    <t>cindy winner djankeu ngamba - 63</t>
  </si>
  <si>
    <t>DJANKEU NGAMBA Cindy Winner</t>
  </si>
  <si>
    <t>VIDTS Noor</t>
  </si>
  <si>
    <t>vidts noor - 20</t>
  </si>
  <si>
    <t>Anthony JEANJEAN</t>
  </si>
  <si>
    <t>anthony jeanjean - 72</t>
  </si>
  <si>
    <t>JEANJEAN Anthony</t>
  </si>
  <si>
    <t>Christophe LAPORTE</t>
  </si>
  <si>
    <t>christophe laporte - 72</t>
  </si>
  <si>
    <t>LAPORTE Christophe</t>
  </si>
  <si>
    <t>Romain MAHIEU</t>
  </si>
  <si>
    <t>romain mahieu - 72</t>
  </si>
  <si>
    <t>MAHIEU Romain</t>
  </si>
  <si>
    <t>Nelvie Raman TIAFACK</t>
  </si>
  <si>
    <t>nelvie raman tiafack - 82</t>
  </si>
  <si>
    <t>TIAFACK Nelvie Raman</t>
  </si>
  <si>
    <t>Kimberley WOODS</t>
  </si>
  <si>
    <t>kimberley woods - 77</t>
  </si>
  <si>
    <t>WOODS Kimberley</t>
  </si>
  <si>
    <t>FUNAKUBO Haruka</t>
  </si>
  <si>
    <t>funakubo haruka - 108</t>
  </si>
  <si>
    <t>HASHIMOTO Soichi</t>
  </si>
  <si>
    <t>hashimoto soichi - 108</t>
  </si>
  <si>
    <t>NAGAYAMA Ryuju</t>
  </si>
  <si>
    <t>nagayama ryuju - 108</t>
  </si>
  <si>
    <t>Rafael ALBA</t>
  </si>
  <si>
    <t>rafael alba - 54</t>
  </si>
  <si>
    <t>ALBA Rafael</t>
  </si>
  <si>
    <t>Olga KHARLAN</t>
  </si>
  <si>
    <t>olga kharlan - 212</t>
  </si>
  <si>
    <t>KHARLAN Olga</t>
  </si>
  <si>
    <t>Surodchana KHAMBAO</t>
  </si>
  <si>
    <t>surodchana khambao - 200</t>
  </si>
  <si>
    <t>KHAMBAO Surodchana</t>
  </si>
  <si>
    <t>Janjaem SUWANNAPHENG</t>
  </si>
  <si>
    <t>janjaem suwannapheng - 200</t>
  </si>
  <si>
    <t>SUWANNAPHENG Janjaem</t>
  </si>
  <si>
    <t>Veronika MAJOR</t>
  </si>
  <si>
    <t>veronika major - 93</t>
  </si>
  <si>
    <t>MAJOR Veronika</t>
  </si>
  <si>
    <t>Emma WILSON</t>
  </si>
  <si>
    <t>emma wilson - 77</t>
  </si>
  <si>
    <t>WILSON Emma</t>
  </si>
  <si>
    <t>Noah WILLIAMS</t>
  </si>
  <si>
    <t>noah williams - 77</t>
  </si>
  <si>
    <t>WILLIAMS Noah</t>
  </si>
  <si>
    <t>Rasheed BROADBELL</t>
  </si>
  <si>
    <t>rasheed broadbell - 106</t>
  </si>
  <si>
    <t>BROADBELL Rasheed</t>
  </si>
  <si>
    <t>CHANG Yani</t>
  </si>
  <si>
    <t>chang yani - 42</t>
  </si>
  <si>
    <t>LEE Wooseok</t>
  </si>
  <si>
    <t>lee wooseok - 113</t>
  </si>
  <si>
    <t>David BETLEHEM</t>
  </si>
  <si>
    <t>david betlehem - 93</t>
  </si>
  <si>
    <t>BETLEHEM David</t>
  </si>
  <si>
    <t>Aisuluu TYNYBEKOVA</t>
  </si>
  <si>
    <t>aisuluu tynybekova - 111</t>
  </si>
  <si>
    <t>TYNYBEKOVA Aisuluu</t>
  </si>
  <si>
    <t>Bozhidar Dimitrov ANDREEV</t>
  </si>
  <si>
    <t>bozhidar dimitrov andreev - 33</t>
  </si>
  <si>
    <t>ANDREEV Bozhidar Dimitrov</t>
  </si>
  <si>
    <t>Lotte KOPECKY</t>
  </si>
  <si>
    <t>lotte kopecky - 20</t>
  </si>
  <si>
    <t>KOPECKY Lotte</t>
  </si>
  <si>
    <t>Gabriella WILLEMS</t>
  </si>
  <si>
    <t>gabriella willems - 20</t>
  </si>
  <si>
    <t>WILLEMS Gabriella</t>
  </si>
  <si>
    <t>Sarah CHAARI</t>
  </si>
  <si>
    <t>sarah chaari - 20</t>
  </si>
  <si>
    <t>CHAARI Sarah</t>
  </si>
  <si>
    <t>LEE Dabin</t>
  </si>
  <si>
    <t>lee dabin - 113</t>
  </si>
  <si>
    <t>Alvaro MARTIN</t>
  </si>
  <si>
    <t>alvaro martin - 66</t>
  </si>
  <si>
    <t>MARTIN Alvaro</t>
  </si>
  <si>
    <t>Beth POTTER</t>
  </si>
  <si>
    <t>beth potter - 77</t>
  </si>
  <si>
    <t>POTTER Beth</t>
  </si>
  <si>
    <t>Harry HEPWORTH</t>
  </si>
  <si>
    <t>harry hepworth - 77</t>
  </si>
  <si>
    <t>HEPWORTH Harry</t>
  </si>
  <si>
    <t>Jake JARMAN</t>
  </si>
  <si>
    <t>jake jarman - 77</t>
  </si>
  <si>
    <t>JARMAN Jake</t>
  </si>
  <si>
    <t>Isabel GOSE</t>
  </si>
  <si>
    <t>isabel gose - 82</t>
  </si>
  <si>
    <t>GOSE Isabel</t>
  </si>
  <si>
    <t>Yunior ALCANTARA REYES</t>
  </si>
  <si>
    <t>yunior alcantara reyes - 60</t>
  </si>
  <si>
    <t>ALCANTARA REYES Yunior</t>
  </si>
  <si>
    <t>Davlat BOLTAEV</t>
  </si>
  <si>
    <t>davlat boltaev - 201</t>
  </si>
  <si>
    <t>BOLTAEV Davlat</t>
  </si>
  <si>
    <t>Florent MANAUDOU</t>
  </si>
  <si>
    <t>florent manaudou - 72</t>
  </si>
  <si>
    <t>MANAUDOU Florent</t>
  </si>
  <si>
    <t>LIANG Yushuai</t>
  </si>
  <si>
    <t>liang yushuai - 42</t>
  </si>
  <si>
    <t>Abraham KIBIWOT</t>
  </si>
  <si>
    <t>abraham kibiwot - 110</t>
  </si>
  <si>
    <t>KIBIWOT Abraham</t>
  </si>
  <si>
    <t>Faith CHEROTICH</t>
  </si>
  <si>
    <t>faith cherotich - 110</t>
  </si>
  <si>
    <t>CHEROTICH Faith</t>
  </si>
  <si>
    <t>Benson KIPRUTO</t>
  </si>
  <si>
    <t>benson kipruto - 110</t>
  </si>
  <si>
    <t>KIPRUTO Benson</t>
  </si>
  <si>
    <t>Lewis RICHARDSON</t>
  </si>
  <si>
    <t>lewis richardson - 77</t>
  </si>
  <si>
    <t>RICHARDSON Lewis</t>
  </si>
  <si>
    <t>Jack CARLIN</t>
  </si>
  <si>
    <t>jack carlin - 77</t>
  </si>
  <si>
    <t>CARLIN Jack</t>
  </si>
  <si>
    <t>Emma FINUCANE</t>
  </si>
  <si>
    <t>emma finucane - 77</t>
  </si>
  <si>
    <t>FINUCANE Emma</t>
  </si>
  <si>
    <t>LIN Xiyu Janet</t>
  </si>
  <si>
    <t>lin xiyu janet - 42</t>
  </si>
  <si>
    <t>Noah HEGGE</t>
  </si>
  <si>
    <t>noah hegge - 82</t>
  </si>
  <si>
    <t>HEGGE Noah</t>
  </si>
  <si>
    <t>WANG Xinjie</t>
  </si>
  <si>
    <t>wang xinjie - 42</t>
  </si>
  <si>
    <t>ZHANG Qiongyue</t>
  </si>
  <si>
    <t>zhang qiongyue - 42</t>
  </si>
  <si>
    <t>Edi HRNIC</t>
  </si>
  <si>
    <t>edi hrnic - 57</t>
  </si>
  <si>
    <t>HRNIC Edi</t>
  </si>
  <si>
    <t>YAN Langyu</t>
  </si>
  <si>
    <t>yan langyu - 42</t>
  </si>
  <si>
    <t>XIAO Ruoteng</t>
  </si>
  <si>
    <t>xiao ruoteng - 42</t>
  </si>
  <si>
    <t>SONG Jiayuan</t>
  </si>
  <si>
    <t>song jiayuan - 42</t>
  </si>
  <si>
    <t>ZHAO Jie</t>
  </si>
  <si>
    <t>zhao jie - 42</t>
  </si>
  <si>
    <t>MENG Lingzhe</t>
  </si>
  <si>
    <t>meng lingzhe - 42</t>
  </si>
  <si>
    <t>FENG Ziqi</t>
  </si>
  <si>
    <t>feng ziqi - 42</t>
  </si>
  <si>
    <t>PANG Qianyu</t>
  </si>
  <si>
    <t>pang qianyu - 42</t>
  </si>
  <si>
    <t>HONG Kexin</t>
  </si>
  <si>
    <t>hong kexin - 42</t>
  </si>
  <si>
    <t>Sandra ELKASEVIC</t>
  </si>
  <si>
    <t>sandra elkasevic - 53</t>
  </si>
  <si>
    <t>ELKASEVIC Sandra</t>
  </si>
  <si>
    <t>RAFFAELI Sofia</t>
  </si>
  <si>
    <t>raffaeli sofia - 104</t>
  </si>
  <si>
    <t>Luigi SAMELE</t>
  </si>
  <si>
    <t>luigi samele - 104</t>
  </si>
  <si>
    <t>SAMELE Luigi</t>
  </si>
  <si>
    <t>HAUGHEY Siobhan Bernadette</t>
  </si>
  <si>
    <t>haughey siobhan bernadette - 91</t>
  </si>
  <si>
    <t>Ginevra TADDEUCCI</t>
  </si>
  <si>
    <t>ginevra taddeucci - 104</t>
  </si>
  <si>
    <t>TADDEUCCI Ginevra</t>
  </si>
  <si>
    <t>Mary MORAA</t>
  </si>
  <si>
    <t>mary moraa - 110</t>
  </si>
  <si>
    <t>MORAA Mary</t>
  </si>
  <si>
    <t>KIM Hayun</t>
  </si>
  <si>
    <t>kim hayun - 113</t>
  </si>
  <si>
    <t>LEE Joonhwan</t>
  </si>
  <si>
    <t>lee joonhwan - 113</t>
  </si>
  <si>
    <t>Simone ALESSIO</t>
  </si>
  <si>
    <t>simone alessio - 104</t>
  </si>
  <si>
    <t>ALESSIO Simone</t>
  </si>
  <si>
    <t>Hina HAYATA</t>
  </si>
  <si>
    <t>hina hayata - 108</t>
  </si>
  <si>
    <t>HAYATA Hina</t>
  </si>
  <si>
    <t>Nazym KYZAIBAY</t>
  </si>
  <si>
    <t>nazym kyzaibay - 109</t>
  </si>
  <si>
    <t>KYZAIBAY Nazym</t>
  </si>
  <si>
    <t>Aman AMAN</t>
  </si>
  <si>
    <t>aman aman - 95</t>
  </si>
  <si>
    <t>AMAN Aman</t>
  </si>
  <si>
    <t>Iga SWIATEK</t>
  </si>
  <si>
    <t>iga swiatek - 164</t>
  </si>
  <si>
    <t>SWIATEK Iga</t>
  </si>
  <si>
    <t>Hellen OBIRI</t>
  </si>
  <si>
    <t>hellen obiri - 110</t>
  </si>
  <si>
    <t>OBIRI Hellen</t>
  </si>
  <si>
    <t>Enmanuel REYES PLA</t>
  </si>
  <si>
    <t>enmanuel reyes pla - 66</t>
  </si>
  <si>
    <t>REYES PLA Enmanuel</t>
  </si>
  <si>
    <t>Gusman KYRGYZBAYEV</t>
  </si>
  <si>
    <t>gusman kyrgyzbayev - 109</t>
  </si>
  <si>
    <t>KYRGYZBAYEV Gusman</t>
  </si>
  <si>
    <t>Muzala SAMUKONGA</t>
  </si>
  <si>
    <t>muzala samukonga - 223</t>
  </si>
  <si>
    <t>SAMUKONGA Muzala</t>
  </si>
  <si>
    <t>OZAKI Nonoka</t>
  </si>
  <si>
    <t>ozaki nonoka - 108</t>
  </si>
  <si>
    <t>SUSAKI Yui</t>
  </si>
  <si>
    <t>susaki yui - 108</t>
  </si>
  <si>
    <t>Eleanor PATTERSON</t>
  </si>
  <si>
    <t>eleanor patterson - 13</t>
  </si>
  <si>
    <t>PATTERSON Eleanor</t>
  </si>
  <si>
    <t>Jemima MONTAG</t>
  </si>
  <si>
    <t>jemima montag - 13</t>
  </si>
  <si>
    <t>MONTAG Jemima</t>
  </si>
  <si>
    <t>Matthew DENNY</t>
  </si>
  <si>
    <t>matthew denny - 13</t>
  </si>
  <si>
    <t>DENNY Matthew</t>
  </si>
  <si>
    <t>Natalya DIEHM</t>
  </si>
  <si>
    <t>natalya diehm - 13</t>
  </si>
  <si>
    <t>DIEHM Natalya</t>
  </si>
  <si>
    <t>Caitlin PARKER</t>
  </si>
  <si>
    <t>caitlin parker - 13</t>
  </si>
  <si>
    <t>PARKER Caitlin</t>
  </si>
  <si>
    <t>Charlie SENIOR</t>
  </si>
  <si>
    <t>charlie senior - 13</t>
  </si>
  <si>
    <t>SENIOR Charlie</t>
  </si>
  <si>
    <t>Matthew GLAETZER</t>
  </si>
  <si>
    <t>matthew glaetzer - 13</t>
  </si>
  <si>
    <t>GLAETZER Matthew</t>
  </si>
  <si>
    <t>Angie Paola PALACIOS DAJOMES</t>
  </si>
  <si>
    <t>angie paola palacios dajomes - 61</t>
  </si>
  <si>
    <t>PALACIOS DAJOMES Angie Paola</t>
  </si>
  <si>
    <t>Neisi Patricia DAJOMES BARRERA</t>
  </si>
  <si>
    <t>neisi patricia dajomes barrera - 61</t>
  </si>
  <si>
    <t>DAJOMES BARRERA Neisi Patricia</t>
  </si>
  <si>
    <t>Viktorija SENKUTE</t>
  </si>
  <si>
    <t>viktorija senkute - 125</t>
  </si>
  <si>
    <t>SENKUTE Viktorija</t>
  </si>
  <si>
    <t>Cristian Javier PINALES</t>
  </si>
  <si>
    <t>cristian javier pinales - 60</t>
  </si>
  <si>
    <t>PINALES Cristian Javier</t>
  </si>
  <si>
    <t>Patricia SAMPAIO</t>
  </si>
  <si>
    <t>patricia sampaio - 165</t>
  </si>
  <si>
    <t>SAMPAIO Patricia</t>
  </si>
  <si>
    <t>Alan HATHERLY</t>
  </si>
  <si>
    <t>alan hatherly - 172</t>
  </si>
  <si>
    <t>HATHERLY Alan</t>
  </si>
  <si>
    <t>Stefano PESCHIERA</t>
  </si>
  <si>
    <t>stefano peschiera - 159</t>
  </si>
  <si>
    <t>PESCHIERA Stefano</t>
  </si>
  <si>
    <t>Ally WOLLASTON</t>
  </si>
  <si>
    <t>ally wollaston - 153</t>
  </si>
  <si>
    <t>WOLLASTON Ally</t>
  </si>
  <si>
    <t>ZHANG Yufei</t>
  </si>
  <si>
    <t>zhang yufei - 42</t>
  </si>
  <si>
    <t>WANG Shun</t>
  </si>
  <si>
    <t>wang shun - 42</t>
  </si>
  <si>
    <t>Eszter MUHARI</t>
  </si>
  <si>
    <t>eszter muhari - 93</t>
  </si>
  <si>
    <t>MUHARI Eszter</t>
  </si>
  <si>
    <t>Giorgi MESHVILDISHVILI</t>
  </si>
  <si>
    <t>giorgi meshvildishvili - 15</t>
  </si>
  <si>
    <t>MESHVILDISHVILI Giorgi</t>
  </si>
  <si>
    <t>Mohamed Khalil JENDOUBI</t>
  </si>
  <si>
    <t>mohamed khalil jendoubi - 207</t>
  </si>
  <si>
    <t>JENDOUBI Mohamed Khalil</t>
  </si>
  <si>
    <t>Beatriz Iasmin SOARES FERREIRA</t>
  </si>
  <si>
    <t>beatriz iasmin soares ferreira - 30</t>
  </si>
  <si>
    <t>SOARES FERREIRA Beatriz Iasmin</t>
  </si>
  <si>
    <t>Larissa PIMENTA</t>
  </si>
  <si>
    <t>larissa pimenta - 30</t>
  </si>
  <si>
    <t>PIMENTA Larissa</t>
  </si>
  <si>
    <t>Pau ECHANIZ</t>
  </si>
  <si>
    <t>pau echaniz - 66</t>
  </si>
  <si>
    <t>ECHANIZ Pau</t>
  </si>
  <si>
    <t>Augusto AKIO</t>
  </si>
  <si>
    <t>augusto akio - 30</t>
  </si>
  <si>
    <t>AKIO Augusto</t>
  </si>
  <si>
    <t>Rayssa LEAL</t>
  </si>
  <si>
    <t>rayssa leal - 30</t>
  </si>
  <si>
    <t>LEAL Rayssa</t>
  </si>
  <si>
    <t>Gabriel MEDINA</t>
  </si>
  <si>
    <t>gabriel medina - 30</t>
  </si>
  <si>
    <t>MEDINA Gabriel</t>
  </si>
  <si>
    <t>Edival PONTES</t>
  </si>
  <si>
    <t>edival pontes - 30</t>
  </si>
  <si>
    <t>PONTES Edival</t>
  </si>
  <si>
    <t>Georgia BELL</t>
  </si>
  <si>
    <t>georgia bell - 77</t>
  </si>
  <si>
    <t>BELL Georgia</t>
  </si>
  <si>
    <t>Jean Pierre BROL CARDENAS</t>
  </si>
  <si>
    <t>jean pierre brol cardenas - 86</t>
  </si>
  <si>
    <t>BROL CARDENAS Jean Pierre</t>
  </si>
  <si>
    <t>Matej BENUS</t>
  </si>
  <si>
    <t>matej benus - 193</t>
  </si>
  <si>
    <t>BENUS Matej</t>
  </si>
  <si>
    <t>Emmanouil KARALIS</t>
  </si>
  <si>
    <t>emmanouil karalis - 84</t>
  </si>
  <si>
    <t>KARALIS Emmanouil</t>
  </si>
  <si>
    <t>Eleftherios PETROUNIAS</t>
  </si>
  <si>
    <t>eleftherios petrounias - 84</t>
  </si>
  <si>
    <t>PETROUNIAS Eleftherios</t>
  </si>
  <si>
    <t>Theodoros TSELIDIS</t>
  </si>
  <si>
    <t>theodoros tselidis - 84</t>
  </si>
  <si>
    <t>TSELIDIS Theodoros</t>
  </si>
  <si>
    <t>MATSUYAMA Hideki</t>
  </si>
  <si>
    <t>matsuyama hideki - 108</t>
  </si>
  <si>
    <t>Djamel SEDJATI</t>
  </si>
  <si>
    <t>djamel sedjati - 5</t>
  </si>
  <si>
    <t>SEDJATI Djamel</t>
  </si>
  <si>
    <t>Dauren KURUGLIEV</t>
  </si>
  <si>
    <t>dauren kurugliev - 84</t>
  </si>
  <si>
    <t>KURUGLIEV Dauren</t>
  </si>
  <si>
    <t>Skylar PARK</t>
  </si>
  <si>
    <t>skylar park - 37</t>
  </si>
  <si>
    <t>PARK Skylar</t>
  </si>
  <si>
    <t>Ilya KHARUN</t>
  </si>
  <si>
    <t>ilya kharun - 37</t>
  </si>
  <si>
    <t>KHARUN Ilya</t>
  </si>
  <si>
    <t>Kylie MASSE</t>
  </si>
  <si>
    <t>kylie masse - 37</t>
  </si>
  <si>
    <t>MASSE Kylie</t>
  </si>
  <si>
    <t>Penny SMITH</t>
  </si>
  <si>
    <t>penny smith - 13</t>
  </si>
  <si>
    <t>SMITH Penny</t>
  </si>
  <si>
    <t>Annelous LAMMERTS</t>
  </si>
  <si>
    <t>annelous lammerts - 147</t>
  </si>
  <si>
    <t>LAMMERTS Annelous</t>
  </si>
  <si>
    <t>Laura COLLETT</t>
  </si>
  <si>
    <t>laura collett - 77</t>
  </si>
  <si>
    <t>COLLETT Laura</t>
  </si>
  <si>
    <t>Charlotte FRY</t>
  </si>
  <si>
    <t>charlotte fry - 77</t>
  </si>
  <si>
    <t>FRY Charlotte</t>
  </si>
  <si>
    <t>Femke BOL</t>
  </si>
  <si>
    <t>femke bol - 147</t>
  </si>
  <si>
    <t>BOL Femke</t>
  </si>
  <si>
    <t>Wyatt SANFORD</t>
  </si>
  <si>
    <t>wyatt sanford - 37</t>
  </si>
  <si>
    <t>SANFORD Wyatt</t>
  </si>
  <si>
    <t>Tes SCHOUTEN</t>
  </si>
  <si>
    <t>tes schouten - 147</t>
  </si>
  <si>
    <t>SCHOUTEN Tes</t>
  </si>
  <si>
    <t>Caspar CORBEAU</t>
  </si>
  <si>
    <t>caspar corbeau - 147</t>
  </si>
  <si>
    <t>CORBEAU Caspar</t>
  </si>
  <si>
    <t>Sophiane METHOT</t>
  </si>
  <si>
    <t>sophiane methot - 37</t>
  </si>
  <si>
    <t>METHOT Sophiane</t>
  </si>
  <si>
    <t>Eleanor HARVEY</t>
  </si>
  <si>
    <t>eleanor harvey - 37</t>
  </si>
  <si>
    <t>HARVEY Eleanor</t>
  </si>
  <si>
    <t>Alysha NEWMAN</t>
  </si>
  <si>
    <t>alysha newman - 37</t>
  </si>
  <si>
    <t>NEWMAN Alysha</t>
  </si>
  <si>
    <t>Zoe CLAESSENS</t>
  </si>
  <si>
    <t>zoe claessens - 191</t>
  </si>
  <si>
    <t>CLAESSENS Zoe</t>
  </si>
  <si>
    <t>Audrey GOGNIAT</t>
  </si>
  <si>
    <t>audrey gogniat - 191</t>
  </si>
  <si>
    <t>GOGNIAT Audrey</t>
  </si>
  <si>
    <t>Roman MITYUKOV</t>
  </si>
  <si>
    <t>roman mityukov - 191</t>
  </si>
  <si>
    <t>MITYUKOV Roman</t>
  </si>
  <si>
    <t>Aira VILLEGAS</t>
  </si>
  <si>
    <t>aira villegas - 160</t>
  </si>
  <si>
    <t>VILLEGAS Aira</t>
  </si>
  <si>
    <t>Nesthy PETECIO</t>
  </si>
  <si>
    <t>nesthy petecio - 160</t>
  </si>
  <si>
    <t>PETECIO Nesthy</t>
  </si>
  <si>
    <t>KIM Mi Rae</t>
  </si>
  <si>
    <t>kim mi rae - 166</t>
  </si>
  <si>
    <t>PANG Cholmi</t>
  </si>
  <si>
    <t>pang cholmi - 166</t>
  </si>
  <si>
    <t>CHOE Hyo Gyong</t>
  </si>
  <si>
    <t>choe hyo gyong - 166</t>
  </si>
  <si>
    <t>RI Se Ung</t>
  </si>
  <si>
    <t>ri se ung - 166</t>
  </si>
  <si>
    <t>Hasrat JAFAROV</t>
  </si>
  <si>
    <t>hasrat jafarov - 15</t>
  </si>
  <si>
    <t>JAFAROV Hasrat</t>
  </si>
  <si>
    <t>Magomedkhan MAGOMEDOV</t>
  </si>
  <si>
    <t>magomedkhan magomedov - 15</t>
  </si>
  <si>
    <t>MAGOMEDOV Magomedkhan</t>
  </si>
  <si>
    <t>Alizadeh KIMIA</t>
  </si>
  <si>
    <t>alizadeh kimia - 33</t>
  </si>
  <si>
    <t>KIMIA Alizadeh</t>
  </si>
  <si>
    <t>Chermen VALIEV</t>
  </si>
  <si>
    <t>chermen valiev - 4</t>
  </si>
  <si>
    <t>VALIEV Chermen</t>
  </si>
  <si>
    <t>KIM Woomin</t>
  </si>
  <si>
    <t>kim woomin - 113</t>
  </si>
  <si>
    <t>Hampton MORRIS</t>
  </si>
  <si>
    <t>hampton morris - 215</t>
  </si>
  <si>
    <t>MORRIS Hampton</t>
  </si>
  <si>
    <t>Olivia REEVES</t>
  </si>
  <si>
    <t>olivia reeves - 215</t>
  </si>
  <si>
    <t>REEVES Olivia</t>
  </si>
  <si>
    <t>Kristina TEACHOUT</t>
  </si>
  <si>
    <t>kristina teachout - 215</t>
  </si>
  <si>
    <t>TEACHOUT Kristina</t>
  </si>
  <si>
    <t>Katharine BERKOFF</t>
  </si>
  <si>
    <t>katharine berkoff - 215</t>
  </si>
  <si>
    <t>BERKOFF Katharine</t>
  </si>
  <si>
    <t>Kate DOUGLASS</t>
  </si>
  <si>
    <t>kate douglass - 215</t>
  </si>
  <si>
    <t>DOUGLASS Kate</t>
  </si>
  <si>
    <t>Nic FINK</t>
  </si>
  <si>
    <t>nic fink - 215</t>
  </si>
  <si>
    <t>FINK Nic</t>
  </si>
  <si>
    <t>Bobby FINKE</t>
  </si>
  <si>
    <t>bobby finke - 215</t>
  </si>
  <si>
    <t>FINKE Bobby</t>
  </si>
  <si>
    <t>Carson FOSTER</t>
  </si>
  <si>
    <t>carson foster - 215</t>
  </si>
  <si>
    <t>FOSTER Carson</t>
  </si>
  <si>
    <t>Katie GRIMES</t>
  </si>
  <si>
    <t>katie grimes - 215</t>
  </si>
  <si>
    <t>GRIMES Katie</t>
  </si>
  <si>
    <t>Luke HOBSON</t>
  </si>
  <si>
    <t>luke hobson - 215</t>
  </si>
  <si>
    <t>HOBSON Luke</t>
  </si>
  <si>
    <t>Torri HUSKE</t>
  </si>
  <si>
    <t>torri huske - 215</t>
  </si>
  <si>
    <t>HUSKE Torri</t>
  </si>
  <si>
    <t>Katie LEDECKY</t>
  </si>
  <si>
    <t>katie ledecky - 215</t>
  </si>
  <si>
    <t>LEDECKY Katie</t>
  </si>
  <si>
    <t>Paige MADDEN</t>
  </si>
  <si>
    <t>paige madden - 215</t>
  </si>
  <si>
    <t>MADDEN Paige</t>
  </si>
  <si>
    <t>Ryan MURPHY</t>
  </si>
  <si>
    <t>ryan murphy - 215</t>
  </si>
  <si>
    <t>MURPHY Ryan</t>
  </si>
  <si>
    <t>Regan SMITH</t>
  </si>
  <si>
    <t>regan smith - 215</t>
  </si>
  <si>
    <t>SMITH Regan</t>
  </si>
  <si>
    <t>Gretchen WALSH</t>
  </si>
  <si>
    <t>gretchen walsh - 215</t>
  </si>
  <si>
    <t>WALSH Gretchen</t>
  </si>
  <si>
    <t>Emma WEYANT</t>
  </si>
  <si>
    <t>emma weyant - 215</t>
  </si>
  <si>
    <t>WEYANT Emma</t>
  </si>
  <si>
    <t>Caroline MARKS</t>
  </si>
  <si>
    <t>caroline marks - 215</t>
  </si>
  <si>
    <t>MARKS Caroline</t>
  </si>
  <si>
    <t>Jagger EATON</t>
  </si>
  <si>
    <t>jagger eaton - 215</t>
  </si>
  <si>
    <t>EATON Jagger</t>
  </si>
  <si>
    <t>Nyjah HUSTON</t>
  </si>
  <si>
    <t>nyjah huston - 215</t>
  </si>
  <si>
    <t>HUSTON Nyjah</t>
  </si>
  <si>
    <t>Tom SCHAAR</t>
  </si>
  <si>
    <t>tom schaar - 215</t>
  </si>
  <si>
    <t>SCHAAR Tom</t>
  </si>
  <si>
    <t>Vincent HANCOCK</t>
  </si>
  <si>
    <t>vincent hancock - 215</t>
  </si>
  <si>
    <t>HANCOCK Vincent</t>
  </si>
  <si>
    <t>Sagen MADDALENA</t>
  </si>
  <si>
    <t>sagen maddalena - 215</t>
  </si>
  <si>
    <t>MADDALENA Sagen</t>
  </si>
  <si>
    <t>Conner Lynn PRINCE</t>
  </si>
  <si>
    <t>conner lynn prince - 215</t>
  </si>
  <si>
    <t>PRINCE Conner Lynn</t>
  </si>
  <si>
    <t>Austen Jewell SMITH</t>
  </si>
  <si>
    <t>austen jewell smith - 215</t>
  </si>
  <si>
    <t>SMITH Austen Jewell</t>
  </si>
  <si>
    <t>Brooke RABOUTOU</t>
  </si>
  <si>
    <t>brooke raboutou - 215</t>
  </si>
  <si>
    <t>RABOUTOU Brooke</t>
  </si>
  <si>
    <t>Sam WATSON</t>
  </si>
  <si>
    <t>sam watson - 215</t>
  </si>
  <si>
    <t>WATSON Sam</t>
  </si>
  <si>
    <t>Nick ITKIN</t>
  </si>
  <si>
    <t>nick itkin - 215</t>
  </si>
  <si>
    <t>ITKIN Nick</t>
  </si>
  <si>
    <t>Lee KIEFER</t>
  </si>
  <si>
    <t>lee kiefer - 215</t>
  </si>
  <si>
    <t>KIEFER Lee</t>
  </si>
  <si>
    <t>Lauren SCRUGGS</t>
  </si>
  <si>
    <t>lauren scruggs - 215</t>
  </si>
  <si>
    <t>SCRUGGS Lauren</t>
  </si>
  <si>
    <t>Scottie SCHEFFLER</t>
  </si>
  <si>
    <t>scottie scheffler - 215</t>
  </si>
  <si>
    <t>SCHEFFLER Scottie</t>
  </si>
  <si>
    <t>Haley BATTEN</t>
  </si>
  <si>
    <t>haley batten - 215</t>
  </si>
  <si>
    <t>BATTEN Haley</t>
  </si>
  <si>
    <t>Perris BENEGAS</t>
  </si>
  <si>
    <t>perris benegas - 215</t>
  </si>
  <si>
    <t>BENEGAS Perris</t>
  </si>
  <si>
    <t>Chloe DYGERT</t>
  </si>
  <si>
    <t>chloe dygert - 215</t>
  </si>
  <si>
    <t>DYGERT Chloe</t>
  </si>
  <si>
    <t>Kristen FAULKNER</t>
  </si>
  <si>
    <t>kristen faulkner - 215</t>
  </si>
  <si>
    <t>FAULKNER Kristen</t>
  </si>
  <si>
    <t>Jennifer VALENTE</t>
  </si>
  <si>
    <t>jennifer valente - 215</t>
  </si>
  <si>
    <t>VALENTE Jennifer</t>
  </si>
  <si>
    <t>Nevin HARRISON</t>
  </si>
  <si>
    <t>nevin harrison - 215</t>
  </si>
  <si>
    <t>HARRISON Nevin</t>
  </si>
  <si>
    <t>Evy LEIBFARTH</t>
  </si>
  <si>
    <t>evy leibfarth - 215</t>
  </si>
  <si>
    <t>LEIBFARTH Evy</t>
  </si>
  <si>
    <t>Aaron Marquel BROOKS</t>
  </si>
  <si>
    <t>aaron marquel brooks - 215</t>
  </si>
  <si>
    <t>BROOKS Aaron Marquel</t>
  </si>
  <si>
    <t>Amit ELOR</t>
  </si>
  <si>
    <t>amit elor - 215</t>
  </si>
  <si>
    <t>ELOR Amit</t>
  </si>
  <si>
    <t>Kennedy Alexis BLADES</t>
  </si>
  <si>
    <t>kennedy alexis blades - 215</t>
  </si>
  <si>
    <t>BLADES Kennedy Alexis</t>
  </si>
  <si>
    <t>Kyle Douglas DAKE</t>
  </si>
  <si>
    <t>kyle douglas dake - 215</t>
  </si>
  <si>
    <t>DAKE Kyle Douglas</t>
  </si>
  <si>
    <t>Sarah Ann HILDEBRANDT</t>
  </si>
  <si>
    <t>sarah ann hildebrandt - 215</t>
  </si>
  <si>
    <t>HILDEBRANDT Sarah Ann</t>
  </si>
  <si>
    <t>Spencer Richard LEE</t>
  </si>
  <si>
    <t>spencer richard lee - 215</t>
  </si>
  <si>
    <t>LEE Spencer Richard</t>
  </si>
  <si>
    <t>Helen Louise MAROULIS</t>
  </si>
  <si>
    <t>helen louise maroulis - 215</t>
  </si>
  <si>
    <t>MAROULIS Helen Louise</t>
  </si>
  <si>
    <t>Brady ELLISON</t>
  </si>
  <si>
    <t>brady ellison - 215</t>
  </si>
  <si>
    <t>ELLISON Brady</t>
  </si>
  <si>
    <t>Omari JONES</t>
  </si>
  <si>
    <t>omari jones - 215</t>
  </si>
  <si>
    <t>JONES Omari</t>
  </si>
  <si>
    <t>Jade CAREY</t>
  </si>
  <si>
    <t>jade carey - 215</t>
  </si>
  <si>
    <t>CAREY Jade</t>
  </si>
  <si>
    <t>Simone BILES</t>
  </si>
  <si>
    <t>simone biles - 215</t>
  </si>
  <si>
    <t>BILES Simone</t>
  </si>
  <si>
    <t>Stephen NEDOROSCIK</t>
  </si>
  <si>
    <t>stephen nedoroscik - 215</t>
  </si>
  <si>
    <t>NEDOROSCIK Stephen</t>
  </si>
  <si>
    <t>Sunisa LEE</t>
  </si>
  <si>
    <t>sunisa lee - 215</t>
  </si>
  <si>
    <t>LEE Sunisa</t>
  </si>
  <si>
    <t>Masai RUSSELL</t>
  </si>
  <si>
    <t>masai russell - 215</t>
  </si>
  <si>
    <t>RUSSELL Masai</t>
  </si>
  <si>
    <t>Noah LYLES</t>
  </si>
  <si>
    <t>noah lyles - 215</t>
  </si>
  <si>
    <t>LYLES Noah</t>
  </si>
  <si>
    <t>Quincy HALL</t>
  </si>
  <si>
    <t>quincy hall - 215</t>
  </si>
  <si>
    <t>HALL Quincy</t>
  </si>
  <si>
    <t>Sam KENDRICKS</t>
  </si>
  <si>
    <t>sam kendricks - 215</t>
  </si>
  <si>
    <t>KENDRICKS Sam</t>
  </si>
  <si>
    <t>Sha'carri RICHARDSON</t>
  </si>
  <si>
    <t>sha'carri richardson - 215</t>
  </si>
  <si>
    <t>RICHARDSON Sha'carri</t>
  </si>
  <si>
    <t>Anna COCKRELL</t>
  </si>
  <si>
    <t>anna cockrell - 215</t>
  </si>
  <si>
    <t>COCKRELL Anna</t>
  </si>
  <si>
    <t>Brittany BROWN</t>
  </si>
  <si>
    <t>brittany brown - 215</t>
  </si>
  <si>
    <t>BROWN Brittany</t>
  </si>
  <si>
    <t>Kenneth BEDNAREK</t>
  </si>
  <si>
    <t>kenneth bednarek - 215</t>
  </si>
  <si>
    <t>BEDNAREK Kenneth</t>
  </si>
  <si>
    <t>Rai BENJAMIN</t>
  </si>
  <si>
    <t>rai benjamin - 215</t>
  </si>
  <si>
    <t>BENJAMIN Rai</t>
  </si>
  <si>
    <t>Ryan CROUSER</t>
  </si>
  <si>
    <t>ryan crouser - 215</t>
  </si>
  <si>
    <t>CROUSER Ryan</t>
  </si>
  <si>
    <t>Tara DAVIS-WOODHALL</t>
  </si>
  <si>
    <t>tara davis-woodhall - 215</t>
  </si>
  <si>
    <t>DAVIS-WOODHALL Tara</t>
  </si>
  <si>
    <t>Valarie ALLMAN</t>
  </si>
  <si>
    <t>valarie allman - 215</t>
  </si>
  <si>
    <t>ALLMAN Valarie</t>
  </si>
  <si>
    <t>Annette Nneka ECHIKUNWOKE</t>
  </si>
  <si>
    <t>annette nneka echikunwoke - 215</t>
  </si>
  <si>
    <t>ECHIKUNWOKE Annette Nneka</t>
  </si>
  <si>
    <t>Cole HOCKER</t>
  </si>
  <si>
    <t>cole hocker - 215</t>
  </si>
  <si>
    <t>HOCKER Cole</t>
  </si>
  <si>
    <t>Fred KERLEY</t>
  </si>
  <si>
    <t>fred kerley - 215</t>
  </si>
  <si>
    <t>KERLEY Fred</t>
  </si>
  <si>
    <t>Grant FISHER</t>
  </si>
  <si>
    <t>grant fisher - 215</t>
  </si>
  <si>
    <t>FISHER Grant</t>
  </si>
  <si>
    <t>Grant HOLLOWAY</t>
  </si>
  <si>
    <t>grant holloway - 215</t>
  </si>
  <si>
    <t>HOLLOWAY Grant</t>
  </si>
  <si>
    <t>Melissa JEFFERSON</t>
  </si>
  <si>
    <t>melissa jefferson - 215</t>
  </si>
  <si>
    <t>JEFFERSON Melissa</t>
  </si>
  <si>
    <t>Daniel ROBERTS</t>
  </si>
  <si>
    <t>daniel roberts - 215</t>
  </si>
  <si>
    <t>ROBERTS Daniel</t>
  </si>
  <si>
    <t>Joe KOVACS</t>
  </si>
  <si>
    <t>joe kovacs - 215</t>
  </si>
  <si>
    <t>KOVACS Joe</t>
  </si>
  <si>
    <t>Jasmine MOORE</t>
  </si>
  <si>
    <t>jasmine moore - 215</t>
  </si>
  <si>
    <t>MOORE Jasmine</t>
  </si>
  <si>
    <t>Katie MOON</t>
  </si>
  <si>
    <t>katie moon - 215</t>
  </si>
  <si>
    <t>MOON Katie</t>
  </si>
  <si>
    <t>Yared NUGUSE</t>
  </si>
  <si>
    <t>yared nuguse - 215</t>
  </si>
  <si>
    <t>NUGUSE Yared</t>
  </si>
  <si>
    <t>Gabrielle THOMAS</t>
  </si>
  <si>
    <t>gabrielle thomas - 215</t>
  </si>
  <si>
    <t>THOMAS Gabrielle</t>
  </si>
  <si>
    <t>Kenneth ROOKS</t>
  </si>
  <si>
    <t>kenneth rooks - 215</t>
  </si>
  <si>
    <t>ROOKS Kenneth</t>
  </si>
  <si>
    <t>TITRE DES DONNEES</t>
  </si>
  <si>
    <t>DATE</t>
  </si>
  <si>
    <t>FAMILLE PRODUIT</t>
  </si>
  <si>
    <t>MONTANT</t>
  </si>
  <si>
    <t>%</t>
  </si>
  <si>
    <t>MONTAGNE</t>
  </si>
  <si>
    <t>EQUITATION</t>
  </si>
  <si>
    <t>SKI</t>
  </si>
  <si>
    <t>CYCLISME</t>
  </si>
  <si>
    <t>PLONGEE</t>
  </si>
  <si>
    <t>GROUPE 2</t>
  </si>
  <si>
    <t>TOTAL</t>
  </si>
  <si>
    <t>SALLE</t>
  </si>
  <si>
    <t>INDEX</t>
  </si>
  <si>
    <t>SALLE 1</t>
  </si>
  <si>
    <t>Insérez automatiquement les jours de la semaine</t>
  </si>
  <si>
    <t>mercredi</t>
  </si>
  <si>
    <t>Insérez automatiquement les mois de l'année</t>
  </si>
  <si>
    <t>janvier</t>
  </si>
  <si>
    <t>mai</t>
  </si>
  <si>
    <t>NOC1-14-4567</t>
  </si>
  <si>
    <t>NOC1-123-8867</t>
  </si>
  <si>
    <t>NOC2-451-321</t>
  </si>
  <si>
    <t>NOC3-23-4498</t>
  </si>
  <si>
    <t>NOC3-213-4578</t>
  </si>
  <si>
    <t>NOC1-325-237</t>
  </si>
  <si>
    <t>NOC2-347-745152</t>
  </si>
  <si>
    <t>NOC2-8-45874</t>
  </si>
  <si>
    <t>Ventes</t>
  </si>
  <si>
    <t>TOTAUX</t>
  </si>
  <si>
    <t>jan</t>
  </si>
  <si>
    <t>feb</t>
  </si>
  <si>
    <t>mar</t>
  </si>
  <si>
    <t xml:space="preserve">total </t>
  </si>
  <si>
    <t>TVA</t>
  </si>
  <si>
    <t>TTC</t>
  </si>
  <si>
    <t>Plage de cellules</t>
  </si>
  <si>
    <t>Tableau Excel</t>
  </si>
  <si>
    <t>Magasin</t>
  </si>
  <si>
    <t>TOTAL TTC</t>
  </si>
  <si>
    <t>Magasin1</t>
  </si>
  <si>
    <t>Magasin2</t>
  </si>
  <si>
    <t>Magasin3</t>
  </si>
  <si>
    <t>Magasin4</t>
  </si>
  <si>
    <t>Magasin5</t>
  </si>
  <si>
    <t>Magasin6</t>
  </si>
  <si>
    <t>Magasin7</t>
  </si>
  <si>
    <t>Magasin8</t>
  </si>
  <si>
    <t>Magasin9</t>
  </si>
  <si>
    <t>Magasin10</t>
  </si>
  <si>
    <t>Magasin11</t>
  </si>
  <si>
    <t>Magasin12</t>
  </si>
  <si>
    <t>Magasin13</t>
  </si>
  <si>
    <t>Magasin14</t>
  </si>
  <si>
    <t>Nouvelles données</t>
  </si>
  <si>
    <t>Magasin24</t>
  </si>
  <si>
    <t>Magasin25</t>
  </si>
  <si>
    <t>Magasin26</t>
  </si>
  <si>
    <t>Magasin27</t>
  </si>
  <si>
    <t>Magasin28</t>
  </si>
  <si>
    <t>Magasin29</t>
  </si>
  <si>
    <t>Magasin30</t>
  </si>
  <si>
    <t>TAX</t>
  </si>
  <si>
    <t>CH</t>
  </si>
  <si>
    <t>US</t>
  </si>
  <si>
    <t>FR</t>
  </si>
  <si>
    <t>D</t>
  </si>
  <si>
    <t>IT</t>
  </si>
  <si>
    <t>GB</t>
  </si>
  <si>
    <t>Liste cantons</t>
  </si>
  <si>
    <t>Vaud</t>
  </si>
  <si>
    <t>Genève</t>
  </si>
  <si>
    <t>Berne</t>
  </si>
  <si>
    <t>Zurich</t>
  </si>
  <si>
    <t>Fribourg</t>
  </si>
  <si>
    <t>PRIX DE VENTE ESTIME</t>
  </si>
  <si>
    <t>PRODUIT</t>
  </si>
  <si>
    <t>Matières premières</t>
  </si>
  <si>
    <t>Main d'œuvre</t>
  </si>
  <si>
    <t>PRODUIT1</t>
  </si>
  <si>
    <t>PRODUIT2</t>
  </si>
  <si>
    <t>PRODUIT3</t>
  </si>
  <si>
    <t>PRODUIT4</t>
  </si>
  <si>
    <t>PRODUIT5</t>
  </si>
  <si>
    <t>PRODUIT6</t>
  </si>
  <si>
    <t>PRODUIT7</t>
  </si>
  <si>
    <t>PRODUIT8</t>
  </si>
  <si>
    <t>PRODUIT9</t>
  </si>
  <si>
    <t>PRODUIT10</t>
  </si>
  <si>
    <t>PRODUIT11</t>
  </si>
  <si>
    <t>PRODUIT12</t>
  </si>
  <si>
    <t>PRODUIT13</t>
  </si>
  <si>
    <t>PRODUIT14</t>
  </si>
  <si>
    <t>PRODUIT15</t>
  </si>
  <si>
    <t>PRODUIT16</t>
  </si>
  <si>
    <t>PRODUIT17</t>
  </si>
  <si>
    <t>PRODUIT18</t>
  </si>
  <si>
    <t>PRODUIT19</t>
  </si>
  <si>
    <t>PRODUIT20</t>
  </si>
  <si>
    <t>PRODUIT21</t>
  </si>
  <si>
    <t>SOLUTION (afficher les lignes ci-dessous)</t>
  </si>
  <si>
    <t>COUNTRY</t>
  </si>
  <si>
    <t>Ludovic Moreau
moreau@artofnet.ch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</si>
</sst>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 #,##0.00\ &quot;CHF&quot;_-;\-* #,##0.00\ &quot;CHF&quot;_-;_-* &quot;-&quot;??\ &quot;CHF&quot;_-;_-@_-"/>
    <numFmt numFmtId="164" formatCode="#,##0\ &quot;CHF&quot;"/>
    <numFmt numFmtId="165" formatCode="_-* #,##0\ [$CHF-100C]_-;\-* #,##0\ [$CHF-100C]_-;_-* &quot;-&quot;??\ [$CHF-100C]_-;_-@_-"/>
    <numFmt numFmtId="166" formatCode="_(* #,##0.00_);_(* \(#,##0.00\);_(* &quot;-&quot;??_);_(@_)"/>
    <numFmt numFmtId="167" formatCode="[$-F800]dddd\,\ mmmm\ dd\,\ yyyy"/>
  </numFmts>
  <fonts count="13" x14ac:knownFonts="1">
    <font>
      <sz val="11"/>
      <color theme="1"/>
      <name val="Calibri"/>
      <family val="2"/>
      <scheme val="minor"/>
    </font>
    <font>
      <sz val="11"/>
      <color theme="1"/>
      <name val="Calibri"/>
      <family val="2"/>
      <scheme val="minor"/>
    </font>
    <font>
      <sz val="8"/>
      <name val="Calibri"/>
      <family val="2"/>
      <scheme val="minor"/>
    </font>
    <font>
      <sz val="14"/>
      <color theme="0" tint="-0.24994659260841701"/>
      <name val="Alasassy Caps"/>
    </font>
    <font>
      <sz val="36"/>
      <color theme="1"/>
      <name val="Calibri"/>
      <family val="2"/>
      <scheme val="minor"/>
    </font>
    <font>
      <sz val="11"/>
      <color theme="0"/>
      <name val="Calibri"/>
      <family val="2"/>
      <scheme val="minor"/>
    </font>
    <font>
      <sz val="12"/>
      <color theme="1"/>
      <name val="Calibri"/>
      <family val="2"/>
      <scheme val="minor"/>
    </font>
    <font>
      <b/>
      <sz val="14"/>
      <color theme="1"/>
      <name val="Calibri"/>
      <family val="2"/>
      <scheme val="minor"/>
    </font>
    <font>
      <sz val="16"/>
      <color theme="1"/>
      <name val="Calibri"/>
      <family val="2"/>
      <scheme val="minor"/>
    </font>
    <font>
      <sz val="20"/>
      <color theme="1"/>
      <name val="Calibri"/>
      <family val="2"/>
      <scheme val="minor"/>
    </font>
    <font>
      <sz val="11"/>
      <color rgb="FF000000"/>
      <name val="Calibri"/>
      <family val="2"/>
      <scheme val="minor"/>
    </font>
    <font>
      <sz val="14"/>
      <color rgb="FF000000"/>
      <name val="Consolas"/>
      <family val="3"/>
    </font>
    <font>
      <sz val="18"/>
      <color theme="0"/>
      <name val="Calibri"/>
      <family val="2"/>
      <scheme val="minor"/>
    </font>
  </fonts>
  <fills count="15">
    <fill>
      <patternFill patternType="none"/>
    </fill>
    <fill>
      <patternFill patternType="gray125"/>
    </fill>
    <fill>
      <patternFill patternType="solid">
        <fgColor theme="4" tint="0.79998168889431442"/>
        <bgColor indexed="65"/>
      </patternFill>
    </fill>
    <fill>
      <patternFill patternType="solid">
        <fgColor rgb="FFC00000"/>
        <bgColor indexed="64"/>
      </patternFill>
    </fill>
    <fill>
      <patternFill patternType="solid">
        <fgColor theme="4" tint="0.59999389629810485"/>
        <bgColor indexed="64"/>
      </patternFill>
    </fill>
    <fill>
      <patternFill patternType="solid">
        <fgColor theme="4"/>
      </patternFill>
    </fill>
    <fill>
      <patternFill patternType="solid">
        <fgColor theme="8"/>
      </patternFill>
    </fill>
    <fill>
      <patternFill patternType="solid">
        <fgColor theme="6"/>
      </patternFill>
    </fill>
    <fill>
      <patternFill patternType="solid">
        <fgColor theme="0" tint="-4.9989318521683403E-2"/>
        <bgColor indexed="64"/>
      </patternFill>
    </fill>
    <fill>
      <patternFill patternType="solid">
        <fgColor theme="6" tint="-0.499984740745262"/>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0"/>
        <bgColor indexed="64"/>
      </patternFill>
    </fill>
    <fill>
      <patternFill patternType="solid">
        <fgColor theme="6" tint="0.59999389629810485"/>
        <bgColor indexed="64"/>
      </patternFill>
    </fill>
    <fill>
      <patternFill patternType="solid">
        <fgColor theme="6" tint="-0.499984740745262"/>
        <bgColor rgb="FF000000"/>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theme="4"/>
      </left>
      <right/>
      <top style="thick">
        <color theme="4"/>
      </top>
      <bottom style="thick">
        <color theme="4"/>
      </bottom>
      <diagonal/>
    </border>
    <border>
      <left/>
      <right/>
      <top style="thick">
        <color theme="4"/>
      </top>
      <bottom style="thick">
        <color theme="4"/>
      </bottom>
      <diagonal/>
    </border>
    <border>
      <left/>
      <right style="thick">
        <color theme="4"/>
      </right>
      <top style="thick">
        <color theme="4"/>
      </top>
      <bottom style="thick">
        <color theme="4"/>
      </bottom>
      <diagonal/>
    </border>
  </borders>
  <cellStyleXfs count="9">
    <xf numFmtId="0" fontId="0" fillId="0" borderId="0"/>
    <xf numFmtId="44" fontId="1" fillId="0" borderId="0" applyFont="0" applyFill="0" applyBorder="0" applyAlignment="0" applyProtection="0"/>
    <xf numFmtId="9" fontId="1" fillId="0" borderId="0" applyFont="0" applyFill="0" applyBorder="0" applyAlignment="0" applyProtection="0"/>
    <xf numFmtId="0" fontId="1" fillId="2" borderId="0" applyNumberFormat="0" applyBorder="0" applyAlignment="0" applyProtection="0"/>
    <xf numFmtId="0" fontId="3" fillId="3" borderId="1" applyBorder="0"/>
    <xf numFmtId="0" fontId="5" fillId="5" borderId="0" applyNumberFormat="0" applyBorder="0" applyAlignment="0" applyProtection="0"/>
    <xf numFmtId="0" fontId="5" fillId="6" borderId="0" applyNumberFormat="0" applyBorder="0" applyAlignment="0" applyProtection="0"/>
    <xf numFmtId="166" fontId="1" fillId="0" borderId="0" applyFont="0" applyFill="0" applyBorder="0" applyAlignment="0" applyProtection="0"/>
    <xf numFmtId="0" fontId="5" fillId="7" borderId="0" applyNumberFormat="0" applyBorder="0" applyAlignment="0" applyProtection="0"/>
  </cellStyleXfs>
  <cellXfs count="60">
    <xf numFmtId="0" fontId="0" fillId="0" borderId="0" xfId="0"/>
    <xf numFmtId="9" fontId="0" fillId="0" borderId="0" xfId="0" applyNumberFormat="1"/>
    <xf numFmtId="2" fontId="0" fillId="0" borderId="0" xfId="0" applyNumberFormat="1"/>
    <xf numFmtId="164" fontId="0" fillId="0" borderId="0" xfId="1" applyNumberFormat="1" applyFont="1"/>
    <xf numFmtId="164" fontId="0" fillId="0" borderId="0" xfId="0" applyNumberFormat="1"/>
    <xf numFmtId="10" fontId="0" fillId="0" borderId="0" xfId="0" applyNumberFormat="1"/>
    <xf numFmtId="165" fontId="0" fillId="0" borderId="0" xfId="0" applyNumberFormat="1"/>
    <xf numFmtId="10" fontId="0" fillId="0" borderId="0" xfId="2" applyNumberFormat="1" applyFont="1"/>
    <xf numFmtId="0" fontId="1" fillId="2" borderId="0" xfId="3"/>
    <xf numFmtId="2" fontId="1" fillId="2" borderId="0" xfId="3" applyNumberFormat="1"/>
    <xf numFmtId="9" fontId="0" fillId="0" borderId="0" xfId="2" applyFont="1"/>
    <xf numFmtId="14" fontId="0" fillId="0" borderId="0" xfId="0" applyNumberFormat="1"/>
    <xf numFmtId="0" fontId="6" fillId="0" borderId="0" xfId="0" applyFont="1"/>
    <xf numFmtId="14" fontId="6" fillId="0" borderId="0" xfId="0" applyNumberFormat="1" applyFont="1"/>
    <xf numFmtId="14" fontId="7" fillId="0" borderId="0" xfId="0" applyNumberFormat="1" applyFont="1"/>
    <xf numFmtId="0" fontId="7" fillId="0" borderId="0" xfId="0" applyFont="1"/>
    <xf numFmtId="9" fontId="1" fillId="2" borderId="0" xfId="3" applyNumberFormat="1" applyAlignment="1">
      <alignment horizontal="center"/>
    </xf>
    <xf numFmtId="0" fontId="1" fillId="2" borderId="0" xfId="3" applyAlignment="1">
      <alignment horizontal="center"/>
    </xf>
    <xf numFmtId="0" fontId="5" fillId="5" borderId="0" xfId="5"/>
    <xf numFmtId="0" fontId="5" fillId="6" borderId="0" xfId="6"/>
    <xf numFmtId="0" fontId="0" fillId="8" borderId="0" xfId="0" applyFill="1"/>
    <xf numFmtId="0" fontId="0" fillId="9" borderId="0" xfId="0" applyFill="1"/>
    <xf numFmtId="0" fontId="5" fillId="7" borderId="2" xfId="8" applyBorder="1"/>
    <xf numFmtId="0" fontId="5" fillId="7" borderId="3" xfId="8" applyBorder="1"/>
    <xf numFmtId="0" fontId="5" fillId="7" borderId="4" xfId="8" applyBorder="1"/>
    <xf numFmtId="0" fontId="0" fillId="8" borderId="5" xfId="0" applyFill="1" applyBorder="1"/>
    <xf numFmtId="0" fontId="0" fillId="8" borderId="6" xfId="0" applyFill="1" applyBorder="1"/>
    <xf numFmtId="0" fontId="0" fillId="8" borderId="7" xfId="0" applyFill="1" applyBorder="1"/>
    <xf numFmtId="0" fontId="0" fillId="8" borderId="8" xfId="0" applyFill="1" applyBorder="1"/>
    <xf numFmtId="0" fontId="0" fillId="8" borderId="9" xfId="0" applyFill="1" applyBorder="1"/>
    <xf numFmtId="14" fontId="7" fillId="10" borderId="0" xfId="0" applyNumberFormat="1" applyFont="1" applyFill="1"/>
    <xf numFmtId="14" fontId="6" fillId="10" borderId="0" xfId="0" applyNumberFormat="1" applyFont="1" applyFill="1"/>
    <xf numFmtId="0" fontId="7" fillId="11" borderId="0" xfId="0" applyFont="1" applyFill="1"/>
    <xf numFmtId="0" fontId="6" fillId="11" borderId="0" xfId="0" applyFont="1" applyFill="1"/>
    <xf numFmtId="0" fontId="7" fillId="10" borderId="0" xfId="0" applyFont="1" applyFill="1"/>
    <xf numFmtId="0" fontId="6" fillId="10" borderId="0" xfId="0" applyFont="1" applyFill="1"/>
    <xf numFmtId="0" fontId="0" fillId="12" borderId="0" xfId="0" applyFill="1"/>
    <xf numFmtId="0" fontId="0" fillId="13" borderId="0" xfId="0" applyFill="1"/>
    <xf numFmtId="14" fontId="6" fillId="13" borderId="0" xfId="0" applyNumberFormat="1" applyFont="1" applyFill="1"/>
    <xf numFmtId="0" fontId="6" fillId="13" borderId="0" xfId="0" applyFont="1" applyFill="1"/>
    <xf numFmtId="0" fontId="8" fillId="0" borderId="0" xfId="0" applyFont="1"/>
    <xf numFmtId="167" fontId="0" fillId="9" borderId="0" xfId="0" applyNumberFormat="1" applyFill="1"/>
    <xf numFmtId="167" fontId="0" fillId="13" borderId="0" xfId="0" applyNumberFormat="1" applyFill="1"/>
    <xf numFmtId="167" fontId="0" fillId="8" borderId="0" xfId="0" applyNumberFormat="1" applyFill="1"/>
    <xf numFmtId="14" fontId="0" fillId="8" borderId="0" xfId="0" applyNumberFormat="1" applyFill="1"/>
    <xf numFmtId="0" fontId="0" fillId="0" borderId="0" xfId="0" applyAlignment="1">
      <alignment horizontal="right"/>
    </xf>
    <xf numFmtId="0" fontId="10" fillId="14" borderId="0" xfId="0" applyFont="1" applyFill="1"/>
    <xf numFmtId="0" fontId="5" fillId="5" borderId="0" xfId="5" applyAlignment="1">
      <alignment vertical="center"/>
    </xf>
    <xf numFmtId="0" fontId="5" fillId="5" borderId="0" xfId="5" applyAlignment="1">
      <alignment vertical="center" wrapText="1"/>
    </xf>
    <xf numFmtId="9" fontId="5" fillId="5" borderId="0" xfId="5" applyNumberFormat="1" applyAlignment="1">
      <alignment horizontal="center" vertical="center"/>
    </xf>
    <xf numFmtId="0" fontId="11" fillId="0" borderId="0" xfId="0" applyFont="1"/>
    <xf numFmtId="0" fontId="12" fillId="9" borderId="0" xfId="0" applyFont="1" applyFill="1" applyAlignment="1">
      <alignment horizontal="left" vertical="center" wrapText="1"/>
    </xf>
    <xf numFmtId="0" fontId="4" fillId="4" borderId="0" xfId="0" applyFont="1" applyFill="1" applyAlignment="1">
      <alignment horizontal="center"/>
    </xf>
    <xf numFmtId="0" fontId="9" fillId="4" borderId="10" xfId="0" applyFont="1" applyFill="1" applyBorder="1" applyAlignment="1">
      <alignment horizontal="center"/>
    </xf>
    <xf numFmtId="0" fontId="4" fillId="4" borderId="11" xfId="0" applyFont="1" applyFill="1" applyBorder="1" applyAlignment="1">
      <alignment horizontal="center"/>
    </xf>
    <xf numFmtId="0" fontId="4" fillId="4" borderId="12" xfId="0" applyFont="1" applyFill="1" applyBorder="1" applyAlignment="1">
      <alignment horizontal="center"/>
    </xf>
    <xf numFmtId="0" fontId="9" fillId="4" borderId="11" xfId="0" applyFont="1" applyFill="1"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cellXfs>
  <cellStyles count="9">
    <cellStyle name="20 % - Accent1" xfId="3" builtinId="30"/>
    <cellStyle name="Accent1" xfId="5" builtinId="29"/>
    <cellStyle name="Accent3" xfId="8" builtinId="37"/>
    <cellStyle name="Accent5" xfId="6" builtinId="45"/>
    <cellStyle name="Milliers 2" xfId="7" xr:uid="{0637F5BF-A08F-4B17-83B0-59BDCE58A29D}"/>
    <cellStyle name="Monétaire" xfId="1" builtinId="4"/>
    <cellStyle name="Normal" xfId="0" builtinId="0"/>
    <cellStyle name="Pourcentage" xfId="2" builtinId="5"/>
    <cellStyle name="Style 1" xfId="4" xr:uid="{866F7696-9D5F-4E35-9917-6C36F139D88E}"/>
  </cellStyles>
  <dxfs count="3">
    <dxf>
      <numFmt numFmtId="165" formatCode="_-* #,##0\ [$CHF-100C]_-;\-* #,##0\ [$CHF-100C]_-;_-* &quot;-&quot;??\ [$CHF-100C]_-;_-@_-"/>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17/06/relationships/rdRichValue" Target="richData/rdrichvalu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22/10/relationships/richValueRel" Target="richData/richValueRel.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Structure" Target="richData/rdrichvaluestructure.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Depuis la table (plage)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'12. TABLEAU + GRAPHE'!$E$6</c:f>
              <c:strCache>
                <c:ptCount val="1"/>
                <c:pt idx="0">
                  <c:v>TOTAL</c:v>
                </c:pt>
              </c:strCache>
            </c:strRef>
          </c:tx>
          <c:spPr>
            <a:solidFill>
              <a:schemeClr val="accent1"/>
            </a:solidFill>
            <a:ln>
              <a:noFill/>
            </a:ln>
            <a:effectLst/>
          </c:spPr>
          <c:invertIfNegative val="0"/>
          <c:cat>
            <c:strRef>
              <c:f>'12. TABLEAU + GRAPHE'!$A$7:$A$20</c:f>
              <c:strCache>
                <c:ptCount val="14"/>
                <c:pt idx="0">
                  <c:v>Magasin1</c:v>
                </c:pt>
                <c:pt idx="1">
                  <c:v>Magasin2</c:v>
                </c:pt>
                <c:pt idx="2">
                  <c:v>Magasin3</c:v>
                </c:pt>
                <c:pt idx="3">
                  <c:v>Magasin4</c:v>
                </c:pt>
                <c:pt idx="4">
                  <c:v>Magasin5</c:v>
                </c:pt>
                <c:pt idx="5">
                  <c:v>Magasin6</c:v>
                </c:pt>
                <c:pt idx="6">
                  <c:v>Magasin7</c:v>
                </c:pt>
                <c:pt idx="7">
                  <c:v>Magasin8</c:v>
                </c:pt>
                <c:pt idx="8">
                  <c:v>Magasin9</c:v>
                </c:pt>
                <c:pt idx="9">
                  <c:v>Magasin10</c:v>
                </c:pt>
                <c:pt idx="10">
                  <c:v>Magasin11</c:v>
                </c:pt>
                <c:pt idx="11">
                  <c:v>Magasin12</c:v>
                </c:pt>
                <c:pt idx="12">
                  <c:v>Magasin13</c:v>
                </c:pt>
                <c:pt idx="13">
                  <c:v>Magasin14</c:v>
                </c:pt>
              </c:strCache>
            </c:strRef>
          </c:cat>
          <c:val>
            <c:numRef>
              <c:f>'12. TABLEAU + GRAPHE'!$E$7:$E$20</c:f>
              <c:numCache>
                <c:formatCode>General</c:formatCode>
                <c:ptCount val="14"/>
                <c:pt idx="0">
                  <c:v>600</c:v>
                </c:pt>
                <c:pt idx="1">
                  <c:v>617</c:v>
                </c:pt>
                <c:pt idx="2">
                  <c:v>634</c:v>
                </c:pt>
                <c:pt idx="3">
                  <c:v>651</c:v>
                </c:pt>
                <c:pt idx="4">
                  <c:v>668</c:v>
                </c:pt>
                <c:pt idx="5">
                  <c:v>685</c:v>
                </c:pt>
                <c:pt idx="6">
                  <c:v>702</c:v>
                </c:pt>
                <c:pt idx="7">
                  <c:v>719</c:v>
                </c:pt>
                <c:pt idx="8">
                  <c:v>736</c:v>
                </c:pt>
                <c:pt idx="9">
                  <c:v>753</c:v>
                </c:pt>
                <c:pt idx="10">
                  <c:v>770</c:v>
                </c:pt>
                <c:pt idx="11">
                  <c:v>787</c:v>
                </c:pt>
                <c:pt idx="12">
                  <c:v>804</c:v>
                </c:pt>
                <c:pt idx="13">
                  <c:v>821</c:v>
                </c:pt>
              </c:numCache>
            </c:numRef>
          </c:val>
          <c:extLst>
            <c:ext xmlns:c16="http://schemas.microsoft.com/office/drawing/2014/chart" uri="{C3380CC4-5D6E-409C-BE32-E72D297353CC}">
              <c16:uniqueId val="{00000000-23EE-4C9D-9F5E-5FBB98F74735}"/>
            </c:ext>
          </c:extLst>
        </c:ser>
        <c:dLbls>
          <c:showLegendKey val="0"/>
          <c:showVal val="0"/>
          <c:showCatName val="0"/>
          <c:showSerName val="0"/>
          <c:showPercent val="0"/>
          <c:showBubbleSize val="0"/>
        </c:dLbls>
        <c:gapWidth val="219"/>
        <c:overlap val="-27"/>
        <c:axId val="416808911"/>
        <c:axId val="416810351"/>
      </c:barChart>
      <c:catAx>
        <c:axId val="41680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810351"/>
        <c:crosses val="autoZero"/>
        <c:auto val="1"/>
        <c:lblAlgn val="ctr"/>
        <c:lblOffset val="100"/>
        <c:noMultiLvlLbl val="0"/>
      </c:catAx>
      <c:valAx>
        <c:axId val="41681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808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Depuis le tableau Excel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5"/>
            </a:solidFill>
            <a:ln>
              <a:noFill/>
            </a:ln>
            <a:effectLst/>
          </c:spPr>
          <c:invertIfNegative val="0"/>
          <c:cat>
            <c:strRef>
              <c:f>'12. TABLEAU + GRAPHE'!$H$7:$H$20</c:f>
              <c:strCache>
                <c:ptCount val="14"/>
                <c:pt idx="0">
                  <c:v>Magasin1</c:v>
                </c:pt>
                <c:pt idx="1">
                  <c:v>Magasin2</c:v>
                </c:pt>
                <c:pt idx="2">
                  <c:v>Magasin3</c:v>
                </c:pt>
                <c:pt idx="3">
                  <c:v>Magasin4</c:v>
                </c:pt>
                <c:pt idx="4">
                  <c:v>Magasin5</c:v>
                </c:pt>
                <c:pt idx="5">
                  <c:v>Magasin6</c:v>
                </c:pt>
                <c:pt idx="6">
                  <c:v>Magasin7</c:v>
                </c:pt>
                <c:pt idx="7">
                  <c:v>Magasin8</c:v>
                </c:pt>
                <c:pt idx="8">
                  <c:v>Magasin9</c:v>
                </c:pt>
                <c:pt idx="9">
                  <c:v>Magasin10</c:v>
                </c:pt>
                <c:pt idx="10">
                  <c:v>Magasin11</c:v>
                </c:pt>
                <c:pt idx="11">
                  <c:v>Magasin12</c:v>
                </c:pt>
                <c:pt idx="12">
                  <c:v>Magasin13</c:v>
                </c:pt>
                <c:pt idx="13">
                  <c:v>Magasin14</c:v>
                </c:pt>
              </c:strCache>
            </c:strRef>
          </c:cat>
          <c:val>
            <c:numRef>
              <c:f>'12. TABLEAU + GRAPHE'!$L$7:$L$20</c:f>
              <c:numCache>
                <c:formatCode>General</c:formatCode>
                <c:ptCount val="14"/>
                <c:pt idx="0">
                  <c:v>600</c:v>
                </c:pt>
                <c:pt idx="1">
                  <c:v>617</c:v>
                </c:pt>
                <c:pt idx="2">
                  <c:v>634</c:v>
                </c:pt>
                <c:pt idx="3">
                  <c:v>651</c:v>
                </c:pt>
                <c:pt idx="4">
                  <c:v>668</c:v>
                </c:pt>
                <c:pt idx="5">
                  <c:v>685</c:v>
                </c:pt>
                <c:pt idx="6">
                  <c:v>702</c:v>
                </c:pt>
                <c:pt idx="7">
                  <c:v>719</c:v>
                </c:pt>
                <c:pt idx="8">
                  <c:v>736</c:v>
                </c:pt>
                <c:pt idx="9">
                  <c:v>753</c:v>
                </c:pt>
                <c:pt idx="10">
                  <c:v>770</c:v>
                </c:pt>
                <c:pt idx="11">
                  <c:v>787</c:v>
                </c:pt>
                <c:pt idx="12">
                  <c:v>804</c:v>
                </c:pt>
                <c:pt idx="13">
                  <c:v>821</c:v>
                </c:pt>
              </c:numCache>
            </c:numRef>
          </c:val>
          <c:extLst>
            <c:ext xmlns:c16="http://schemas.microsoft.com/office/drawing/2014/chart" uri="{C3380CC4-5D6E-409C-BE32-E72D297353CC}">
              <c16:uniqueId val="{00000000-DFC8-47D2-BBB2-E449014420B2}"/>
            </c:ext>
          </c:extLst>
        </c:ser>
        <c:dLbls>
          <c:showLegendKey val="0"/>
          <c:showVal val="0"/>
          <c:showCatName val="0"/>
          <c:showSerName val="0"/>
          <c:showPercent val="0"/>
          <c:showBubbleSize val="0"/>
        </c:dLbls>
        <c:gapWidth val="219"/>
        <c:overlap val="-27"/>
        <c:axId val="416819471"/>
        <c:axId val="416809871"/>
      </c:barChart>
      <c:catAx>
        <c:axId val="416819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809871"/>
        <c:crosses val="autoZero"/>
        <c:auto val="1"/>
        <c:lblAlgn val="ctr"/>
        <c:lblOffset val="100"/>
        <c:noMultiLvlLbl val="0"/>
      </c:catAx>
      <c:valAx>
        <c:axId val="416809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819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svg"/><Relationship Id="rId1" Type="http://schemas.openxmlformats.org/officeDocument/2006/relationships/image" Target="../media/image3.png"/><Relationship Id="rId4"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8.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171450</xdr:colOff>
      <xdr:row>2</xdr:row>
      <xdr:rowOff>123825</xdr:rowOff>
    </xdr:from>
    <xdr:to>
      <xdr:col>2</xdr:col>
      <xdr:colOff>523875</xdr:colOff>
      <xdr:row>11</xdr:row>
      <xdr:rowOff>133350</xdr:rowOff>
    </xdr:to>
    <xdr:sp macro="" textlink="">
      <xdr:nvSpPr>
        <xdr:cNvPr id="2" name="ZoneTexte 1">
          <a:extLst>
            <a:ext uri="{FF2B5EF4-FFF2-40B4-BE49-F238E27FC236}">
              <a16:creationId xmlns:a16="http://schemas.microsoft.com/office/drawing/2014/main" id="{F4935C56-C21F-269E-D0BC-CA8DA651AF12}"/>
            </a:ext>
          </a:extLst>
        </xdr:cNvPr>
        <xdr:cNvSpPr txBox="1"/>
      </xdr:nvSpPr>
      <xdr:spPr>
        <a:xfrm>
          <a:off x="171450" y="314325"/>
          <a:ext cx="6457950" cy="172402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Sélection d’une colonne </a:t>
          </a:r>
          <a:r>
            <a:rPr lang="fr-CH" sz="1400" b="0" i="0" u="none" strike="noStrike">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sym typeface="Wingdings" panose="05000000000000000000" pitchFamily="2" charset="2"/>
            </a:rPr>
            <a:t></a:t>
          </a:r>
          <a:r>
            <a:rPr lang="fr-CH" sz="1400" b="0" i="0" u="none" strike="noStrike">
              <a:solidFill>
                <a:schemeClr val="dk1"/>
              </a:solidFill>
              <a:effectLst/>
              <a:latin typeface="Consolas" panose="020B0609020204030204" pitchFamily="49" charset="0"/>
              <a:ea typeface="+mn-ea"/>
              <a:cs typeface="+mn-cs"/>
            </a:rPr>
            <a:t> sur la référence de ligne / colonne.</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Sélectionner</a:t>
          </a:r>
          <a:r>
            <a:rPr lang="fr-CH" sz="1400" b="0" i="0" u="none" strike="noStrike">
              <a:solidFill>
                <a:schemeClr val="dk1"/>
              </a:solidFill>
              <a:effectLst/>
              <a:latin typeface="Consolas" panose="020B0609020204030204" pitchFamily="49" charset="0"/>
              <a:ea typeface="+mn-ea"/>
              <a:cs typeface="+mn-cs"/>
            </a:rPr>
            <a:t> trois colonnes (lignes) </a:t>
          </a:r>
          <a:r>
            <a:rPr lang="fr-CH" sz="1400" b="1" i="0" u="none" strike="noStrike">
              <a:solidFill>
                <a:schemeClr val="dk1"/>
              </a:solidFill>
              <a:effectLst/>
              <a:latin typeface="Consolas" panose="020B0609020204030204" pitchFamily="49" charset="0"/>
              <a:ea typeface="+mn-ea"/>
              <a:cs typeface="+mn-cs"/>
            </a:rPr>
            <a:t>contiguës</a:t>
          </a:r>
          <a:r>
            <a:rPr lang="fr-CH" sz="1400" b="0" i="0" u="none" strike="noStrike">
              <a:solidFill>
                <a:schemeClr val="dk1"/>
              </a:solidFill>
              <a:effectLst/>
              <a:latin typeface="Consolas" panose="020B0609020204030204" pitchFamily="49" charset="0"/>
              <a:ea typeface="+mn-ea"/>
              <a:cs typeface="+mn-cs"/>
            </a:rPr>
            <a:t> </a:t>
          </a:r>
          <a:r>
            <a:rPr lang="fr-CH" sz="1400" b="0" i="0" u="none" strike="noStrike">
              <a:solidFill>
                <a:schemeClr val="accent2">
                  <a:lumMod val="50000"/>
                </a:schemeClr>
              </a:solidFill>
              <a:effectLst/>
              <a:latin typeface="Consolas" panose="020B0609020204030204" pitchFamily="49" charset="0"/>
              <a:ea typeface="+mn-ea"/>
              <a:cs typeface="+mn-cs"/>
              <a:sym typeface="Wingdings" panose="05000000000000000000" pitchFamily="2" charset="2"/>
            </a:rPr>
            <a:t> </a:t>
          </a:r>
          <a:r>
            <a:rPr lang="fr-CH" sz="1400" b="0" i="0" u="none" strike="noStrike">
              <a:solidFill>
                <a:schemeClr val="accent2">
                  <a:lumMod val="50000"/>
                </a:schemeClr>
              </a:solidFill>
              <a:effectLst/>
              <a:latin typeface="Consolas" panose="020B0609020204030204" pitchFamily="49" charset="0"/>
              <a:ea typeface="+mn-ea"/>
              <a:cs typeface="+mn-cs"/>
            </a:rPr>
            <a:t>MAJ + clic.</a:t>
          </a:r>
        </a:p>
        <a:p>
          <a:pPr marL="0" marR="0" lvl="0" indent="0" defTabSz="914400" rtl="0" eaLnBrk="1" fontAlgn="auto" latinLnBrk="0" hangingPunct="1">
            <a:lnSpc>
              <a:spcPct val="100000"/>
            </a:lnSpc>
            <a:spcBef>
              <a:spcPts val="0"/>
            </a:spcBef>
            <a:spcAft>
              <a:spcPts val="0"/>
            </a:spcAft>
            <a:buClrTx/>
            <a:buSzTx/>
            <a:buFontTx/>
            <a:buNone/>
            <a:tabLst/>
            <a:defRPr/>
          </a:pPr>
          <a:br>
            <a:rPr lang="fr-CH" sz="1400" b="0" i="0" u="none" strike="noStrike">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Sélectionner</a:t>
          </a:r>
          <a:r>
            <a:rPr lang="fr-CH" sz="1400" b="1" i="0" u="none" strike="noStrike" baseline="0">
              <a:solidFill>
                <a:schemeClr val="dk1"/>
              </a:solidFill>
              <a:effectLst/>
              <a:latin typeface="Consolas" panose="020B0609020204030204" pitchFamily="49" charset="0"/>
              <a:ea typeface="+mn-ea"/>
              <a:cs typeface="+mn-cs"/>
            </a:rPr>
            <a:t> les</a:t>
          </a:r>
          <a:r>
            <a:rPr lang="fr-CH" sz="1400" b="1" i="0" u="none" strike="noStrike">
              <a:solidFill>
                <a:schemeClr val="dk1"/>
              </a:solidFill>
              <a:effectLst/>
              <a:latin typeface="Consolas" panose="020B0609020204030204" pitchFamily="49" charset="0"/>
              <a:ea typeface="+mn-ea"/>
              <a:cs typeface="+mn-cs"/>
            </a:rPr>
            <a:t> colonnes </a:t>
          </a:r>
          <a:r>
            <a:rPr lang="fr-CH" sz="1400" b="0" i="0" u="none" strike="noStrike">
              <a:solidFill>
                <a:schemeClr val="dk1"/>
              </a:solidFill>
              <a:effectLst/>
              <a:latin typeface="Consolas" panose="020B0609020204030204" pitchFamily="49" charset="0"/>
              <a:ea typeface="+mn-ea"/>
              <a:cs typeface="+mn-cs"/>
            </a:rPr>
            <a:t>L, N et P (lignes 10,20 et 30) </a:t>
          </a:r>
          <a:r>
            <a:rPr lang="fr-CH" sz="1400" b="0" i="0">
              <a:solidFill>
                <a:schemeClr val="accent2">
                  <a:lumMod val="50000"/>
                </a:schemeClr>
              </a:solidFill>
              <a:effectLst/>
              <a:latin typeface="Consolas" panose="020B0609020204030204" pitchFamily="49" charset="0"/>
              <a:ea typeface="+mn-ea"/>
              <a:cs typeface="+mn-cs"/>
              <a:sym typeface="Wingdings" panose="05000000000000000000" pitchFamily="2" charset="2"/>
            </a:rPr>
            <a:t> </a:t>
          </a:r>
          <a:r>
            <a:rPr lang="fr-CH" sz="1400" b="0" i="0">
              <a:solidFill>
                <a:schemeClr val="accent2">
                  <a:lumMod val="50000"/>
                </a:schemeClr>
              </a:solidFill>
              <a:effectLst/>
              <a:latin typeface="Consolas" panose="020B0609020204030204" pitchFamily="49" charset="0"/>
              <a:ea typeface="+mn-ea"/>
              <a:cs typeface="+mn-cs"/>
            </a:rPr>
            <a:t>CTRL + clic.</a:t>
          </a:r>
          <a:br>
            <a:rPr lang="en-US" sz="1400" b="0" i="0">
              <a:solidFill>
                <a:schemeClr val="dk1"/>
              </a:solidFill>
              <a:effectLst/>
              <a:latin typeface="Consolas" panose="020B0609020204030204" pitchFamily="49" charset="0"/>
              <a:ea typeface="+mn-ea"/>
              <a:cs typeface="+mn-cs"/>
            </a:rPr>
          </a:br>
          <a:endParaRPr lang="en-US" sz="1400" b="0"/>
        </a:p>
      </xdr:txBody>
    </xdr:sp>
    <xdr:clientData/>
  </xdr:twoCellAnchor>
  <xdr:twoCellAnchor>
    <xdr:from>
      <xdr:col>11</xdr:col>
      <xdr:colOff>142874</xdr:colOff>
      <xdr:row>2</xdr:row>
      <xdr:rowOff>114300</xdr:rowOff>
    </xdr:from>
    <xdr:to>
      <xdr:col>17</xdr:col>
      <xdr:colOff>142875</xdr:colOff>
      <xdr:row>20</xdr:row>
      <xdr:rowOff>114299</xdr:rowOff>
    </xdr:to>
    <xdr:sp macro="" textlink="">
      <xdr:nvSpPr>
        <xdr:cNvPr id="3" name="ZoneTexte 2">
          <a:extLst>
            <a:ext uri="{FF2B5EF4-FFF2-40B4-BE49-F238E27FC236}">
              <a16:creationId xmlns:a16="http://schemas.microsoft.com/office/drawing/2014/main" id="{F768A029-3C76-4290-9EB9-F59A0B061227}"/>
            </a:ext>
          </a:extLst>
        </xdr:cNvPr>
        <xdr:cNvSpPr txBox="1"/>
      </xdr:nvSpPr>
      <xdr:spPr>
        <a:xfrm>
          <a:off x="12992099" y="1047750"/>
          <a:ext cx="4572001" cy="342899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Déplacement rapide avec </a:t>
          </a:r>
          <a:r>
            <a:rPr lang="fr-CH" sz="1400" b="1" i="0" u="none" strike="noStrike">
              <a:solidFill>
                <a:schemeClr val="dk1"/>
              </a:solidFill>
              <a:effectLst/>
              <a:latin typeface="Consolas" panose="020B0609020204030204" pitchFamily="49" charset="0"/>
              <a:ea typeface="+mn-ea"/>
              <a:cs typeface="+mn-cs"/>
            </a:rPr>
            <a:t>Ctrl + flèche</a:t>
          </a:r>
          <a:r>
            <a:rPr lang="fr-CH" sz="1400" b="0" i="0" u="none" strike="noStrike">
              <a:solidFill>
                <a:schemeClr val="dk1"/>
              </a:solidFill>
              <a:effectLst/>
              <a:latin typeface="Consolas" panose="020B0609020204030204" pitchFamily="49" charset="0"/>
              <a:ea typeface="+mn-ea"/>
              <a:cs typeface="+mn-cs"/>
            </a:rPr>
            <a:t>.</a:t>
          </a:r>
          <a:r>
            <a:rPr lang="en-US"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Sélection d’un ensemble de lignes/colonnes </a:t>
          </a:r>
          <a:r>
            <a:rPr lang="fr-CH" sz="1400" b="0" i="0" u="none" strike="noStrike">
              <a:solidFill>
                <a:schemeClr val="dk1"/>
              </a:solidFill>
              <a:effectLst/>
              <a:latin typeface="Consolas" panose="020B0609020204030204" pitchFamily="49" charset="0"/>
              <a:ea typeface="+mn-ea"/>
              <a:cs typeface="+mn-cs"/>
            </a:rPr>
            <a:t>: Cliquez sur la première ligne/colonne, puis appuyez sur la touche Maj en cliquant sur la dernière ligne/colonne souhaitée. Cela sélectionnera chaque ligne / colonne entre la première et la dernière.</a:t>
          </a:r>
          <a:r>
            <a:rPr lang="en-US"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Sélection de lignes/colonnes disjointes </a:t>
          </a:r>
          <a:r>
            <a:rPr lang="fr-CH" sz="1400" b="0" i="0" u="none" strike="noStrike">
              <a:solidFill>
                <a:schemeClr val="dk1"/>
              </a:solidFill>
              <a:effectLst/>
              <a:latin typeface="Consolas" panose="020B0609020204030204" pitchFamily="49" charset="0"/>
              <a:ea typeface="+mn-ea"/>
              <a:cs typeface="+mn-cs"/>
            </a:rPr>
            <a:t>: Cliquez sur la première puis appuyez sur Ctrl en cliquant sur n’importe quelle autre ligne/colonne pour les ajouter à la sélection.</a:t>
          </a:r>
          <a:r>
            <a:rPr lang="en-US" sz="1400" b="0" i="0" u="none" strike="noStrike">
              <a:solidFill>
                <a:schemeClr val="dk1"/>
              </a:solidFill>
              <a:effectLst/>
              <a:latin typeface="Consolas" panose="020B0609020204030204" pitchFamily="49" charset="0"/>
              <a:ea typeface="+mn-ea"/>
              <a:cs typeface="+mn-cs"/>
            </a:rPr>
            <a:t>​</a:t>
          </a:r>
        </a:p>
      </xdr:txBody>
    </xdr:sp>
    <xdr:clientData/>
  </xdr:twoCellAnchor>
  <xdr:twoCellAnchor>
    <xdr:from>
      <xdr:col>0</xdr:col>
      <xdr:colOff>171450</xdr:colOff>
      <xdr:row>13</xdr:row>
      <xdr:rowOff>95251</xdr:rowOff>
    </xdr:from>
    <xdr:to>
      <xdr:col>2</xdr:col>
      <xdr:colOff>523875</xdr:colOff>
      <xdr:row>21</xdr:row>
      <xdr:rowOff>152401</xdr:rowOff>
    </xdr:to>
    <xdr:sp macro="" textlink="">
      <xdr:nvSpPr>
        <xdr:cNvPr id="4" name="ZoneTexte 3">
          <a:extLst>
            <a:ext uri="{FF2B5EF4-FFF2-40B4-BE49-F238E27FC236}">
              <a16:creationId xmlns:a16="http://schemas.microsoft.com/office/drawing/2014/main" id="{E11A7576-6FD5-4357-9987-F713D4F510B6}"/>
            </a:ext>
          </a:extLst>
        </xdr:cNvPr>
        <xdr:cNvSpPr txBox="1"/>
      </xdr:nvSpPr>
      <xdr:spPr>
        <a:xfrm>
          <a:off x="171450" y="2381251"/>
          <a:ext cx="6457950" cy="158115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Réglage de la largeur </a:t>
          </a:r>
          <a:r>
            <a:rPr lang="fr-CH" sz="1400" b="0" i="0" u="none" strike="noStrike">
              <a:solidFill>
                <a:schemeClr val="dk1"/>
              </a:solidFill>
              <a:effectLst/>
              <a:latin typeface="Consolas" panose="020B0609020204030204" pitchFamily="49" charset="0"/>
              <a:ea typeface="+mn-ea"/>
              <a:cs typeface="+mn-cs"/>
            </a:rPr>
            <a:t>des colonnes et de la hauteur des lignes :</a:t>
          </a:r>
          <a:br>
            <a:rPr lang="fr-CH" sz="1400" b="0" i="0" u="none" strike="noStrike">
              <a:solidFill>
                <a:schemeClr val="dk1"/>
              </a:solidFill>
              <a:effectLst/>
              <a:latin typeface="Consolas" panose="020B0609020204030204" pitchFamily="49" charset="0"/>
              <a:ea typeface="+mn-ea"/>
              <a:cs typeface="+mn-cs"/>
            </a:rPr>
          </a:br>
          <a:r>
            <a:rPr lang="fr-CH" sz="1400" b="0" i="0" u="none" strike="noStrike">
              <a:solidFill>
                <a:schemeClr val="dk1"/>
              </a:solidFill>
              <a:effectLst/>
              <a:latin typeface="Consolas" panose="020B0609020204030204" pitchFamily="49" charset="0"/>
              <a:ea typeface="+mn-ea"/>
              <a:cs typeface="+mn-cs"/>
            </a:rPr>
            <a:t> 1. avec la souris </a:t>
          </a:r>
          <a:r>
            <a:rPr lang="fr-CH" sz="1400" b="0" i="0">
              <a:solidFill>
                <a:schemeClr val="accent1"/>
              </a:solidFill>
              <a:effectLst/>
              <a:latin typeface="Consolas" panose="020B0609020204030204" pitchFamily="49" charset="0"/>
              <a:ea typeface="+mn-ea"/>
              <a:cs typeface="+mn-cs"/>
              <a:sym typeface="Wingdings" panose="05000000000000000000" pitchFamily="2" charset="2"/>
            </a:rPr>
            <a:t> clic sur la séparation</a:t>
          </a:r>
          <a:r>
            <a:rPr lang="fr-CH" sz="1400" b="0" i="0" baseline="0">
              <a:solidFill>
                <a:schemeClr val="accent1"/>
              </a:solidFill>
              <a:effectLst/>
              <a:latin typeface="Consolas" panose="020B0609020204030204" pitchFamily="49" charset="0"/>
              <a:ea typeface="+mn-ea"/>
              <a:cs typeface="+mn-cs"/>
              <a:sym typeface="Wingdings" panose="05000000000000000000" pitchFamily="2" charset="2"/>
            </a:rPr>
            <a:t> entre 2 cols et tirer</a:t>
          </a:r>
          <a:br>
            <a:rPr lang="fr-CH" sz="1400" b="0" i="0" u="none" strike="noStrike">
              <a:solidFill>
                <a:schemeClr val="dk1"/>
              </a:solidFill>
              <a:effectLst/>
              <a:latin typeface="Consolas" panose="020B0609020204030204" pitchFamily="49" charset="0"/>
              <a:ea typeface="+mn-ea"/>
              <a:cs typeface="+mn-cs"/>
            </a:rPr>
          </a:br>
          <a:r>
            <a:rPr lang="fr-CH" sz="1400" b="0" i="0" u="none" strike="noStrike">
              <a:solidFill>
                <a:schemeClr val="dk1"/>
              </a:solidFill>
              <a:effectLst/>
              <a:latin typeface="Consolas" panose="020B0609020204030204" pitchFamily="49" charset="0"/>
              <a:ea typeface="+mn-ea"/>
              <a:cs typeface="+mn-cs"/>
            </a:rPr>
            <a:t> 2. par valeur</a:t>
          </a:r>
          <a:r>
            <a:rPr lang="en-US" sz="1400" b="0" i="0">
              <a:solidFill>
                <a:schemeClr val="dk1"/>
              </a:solidFill>
              <a:effectLst/>
              <a:latin typeface="Consolas" panose="020B0609020204030204" pitchFamily="49" charset="0"/>
              <a:ea typeface="+mn-ea"/>
              <a:cs typeface="+mn-cs"/>
            </a:rPr>
            <a:t>​ </a:t>
          </a:r>
          <a:r>
            <a:rPr lang="fr-CH" sz="1400" b="0" i="0">
              <a:solidFill>
                <a:schemeClr val="accent1"/>
              </a:solidFill>
              <a:effectLst/>
              <a:latin typeface="Consolas" panose="020B0609020204030204" pitchFamily="49" charset="0"/>
              <a:ea typeface="+mn-ea"/>
              <a:cs typeface="+mn-cs"/>
              <a:sym typeface="Wingdings" panose="05000000000000000000" pitchFamily="2" charset="2"/>
            </a:rPr>
            <a:t> clic droit </a:t>
          </a:r>
          <a:r>
            <a:rPr lang="fr-CH" sz="1400" b="0" i="0">
              <a:solidFill>
                <a:schemeClr val="dk1"/>
              </a:solidFill>
              <a:effectLst/>
              <a:latin typeface="Consolas" panose="020B0609020204030204" pitchFamily="49" charset="0"/>
              <a:ea typeface="+mn-ea"/>
              <a:cs typeface="+mn-cs"/>
              <a:sym typeface="Wingdings" panose="05000000000000000000" pitchFamily="2" charset="2"/>
            </a:rPr>
            <a:t>&gt; </a:t>
          </a:r>
          <a:r>
            <a:rPr lang="fr-CH" sz="1400" b="0" i="0">
              <a:solidFill>
                <a:schemeClr val="accent1"/>
              </a:solidFill>
              <a:effectLst/>
              <a:latin typeface="Consolas" panose="020B0609020204030204" pitchFamily="49" charset="0"/>
              <a:ea typeface="+mn-ea"/>
              <a:cs typeface="+mn-cs"/>
              <a:sym typeface="Wingdings" panose="05000000000000000000" pitchFamily="2" charset="2"/>
            </a:rPr>
            <a:t>'Largeur</a:t>
          </a:r>
          <a:r>
            <a:rPr lang="fr-CH" sz="1400" b="0" i="0" baseline="0">
              <a:solidFill>
                <a:schemeClr val="accent1"/>
              </a:solidFill>
              <a:effectLst/>
              <a:latin typeface="Consolas" panose="020B0609020204030204" pitchFamily="49" charset="0"/>
              <a:ea typeface="+mn-ea"/>
              <a:cs typeface="+mn-cs"/>
              <a:sym typeface="Wingdings" panose="05000000000000000000" pitchFamily="2" charset="2"/>
            </a:rPr>
            <a:t> de colonne</a:t>
          </a:r>
          <a:r>
            <a:rPr lang="fr-CH" sz="1400" b="0" i="0" baseline="0">
              <a:solidFill>
                <a:schemeClr val="dk1"/>
              </a:solidFill>
              <a:effectLst/>
              <a:latin typeface="Consolas" panose="020B0609020204030204" pitchFamily="49" charset="0"/>
              <a:ea typeface="+mn-ea"/>
              <a:cs typeface="+mn-cs"/>
              <a:sym typeface="Wingdings" panose="05000000000000000000" pitchFamily="2" charset="2"/>
            </a:rPr>
            <a:t>' ou '</a:t>
          </a:r>
          <a:r>
            <a:rPr lang="fr-CH" sz="1400" b="0" i="0" baseline="0">
              <a:solidFill>
                <a:schemeClr val="accent1"/>
              </a:solidFill>
              <a:effectLst/>
              <a:latin typeface="Consolas" panose="020B0609020204030204" pitchFamily="49" charset="0"/>
              <a:ea typeface="+mn-ea"/>
              <a:cs typeface="+mn-cs"/>
              <a:sym typeface="Wingdings" panose="05000000000000000000" pitchFamily="2" charset="2"/>
            </a:rPr>
            <a:t>Hauteur de ligne</a:t>
          </a:r>
          <a:r>
            <a:rPr lang="fr-CH" sz="1400" b="0" i="0" baseline="0">
              <a:solidFill>
                <a:schemeClr val="dk1"/>
              </a:solidFill>
              <a:effectLst/>
              <a:latin typeface="Consolas" panose="020B0609020204030204" pitchFamily="49" charset="0"/>
              <a:ea typeface="+mn-ea"/>
              <a:cs typeface="+mn-cs"/>
              <a:sym typeface="Wingdings" panose="05000000000000000000" pitchFamily="2" charset="2"/>
            </a:rPr>
            <a:t>' puis insérer la valeur souhaitée comme suit: </a:t>
          </a:r>
          <a:r>
            <a:rPr lang="fr-CH" sz="1400" b="0" i="0" u="none" strike="noStrike">
              <a:solidFill>
                <a:schemeClr val="dk1"/>
              </a:solidFill>
              <a:effectLst/>
              <a:latin typeface="Consolas" panose="020B0609020204030204" pitchFamily="49" charset="0"/>
              <a:ea typeface="+mn-ea"/>
              <a:cs typeface="+mn-cs"/>
            </a:rPr>
            <a:t>Ligne: 1 pt = 0,3528 mm – colonne: exprimée en nb de 0 dans la cellule selon police et taille .</a:t>
          </a:r>
          <a:br>
            <a:rPr lang="en-US" sz="1400" b="0" i="0">
              <a:solidFill>
                <a:schemeClr val="dk1"/>
              </a:solidFill>
              <a:effectLst/>
              <a:latin typeface="Consolas" panose="020B0609020204030204" pitchFamily="49" charset="0"/>
              <a:ea typeface="+mn-ea"/>
              <a:cs typeface="+mn-cs"/>
            </a:rPr>
          </a:br>
          <a:endParaRPr lang="en-US" sz="1400" b="0"/>
        </a:p>
      </xdr:txBody>
    </xdr:sp>
    <xdr:clientData/>
  </xdr:twoCellAnchor>
  <xdr:twoCellAnchor>
    <xdr:from>
      <xdr:col>0</xdr:col>
      <xdr:colOff>171450</xdr:colOff>
      <xdr:row>23</xdr:row>
      <xdr:rowOff>9525</xdr:rowOff>
    </xdr:from>
    <xdr:to>
      <xdr:col>2</xdr:col>
      <xdr:colOff>523875</xdr:colOff>
      <xdr:row>32</xdr:row>
      <xdr:rowOff>38100</xdr:rowOff>
    </xdr:to>
    <xdr:sp macro="" textlink="">
      <xdr:nvSpPr>
        <xdr:cNvPr id="5" name="ZoneTexte 4">
          <a:extLst>
            <a:ext uri="{FF2B5EF4-FFF2-40B4-BE49-F238E27FC236}">
              <a16:creationId xmlns:a16="http://schemas.microsoft.com/office/drawing/2014/main" id="{758AB015-3249-4D9C-87E5-F5A64428E5B5}"/>
            </a:ext>
          </a:extLst>
        </xdr:cNvPr>
        <xdr:cNvSpPr txBox="1"/>
      </xdr:nvSpPr>
      <xdr:spPr>
        <a:xfrm>
          <a:off x="171450" y="4200525"/>
          <a:ext cx="6457950" cy="17430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br>
            <a:rPr lang="en-US" sz="1400" b="0" i="0">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Masquage</a:t>
          </a:r>
          <a:r>
            <a:rPr lang="fr-CH" sz="1400" b="0" i="0" u="none" strike="noStrike">
              <a:solidFill>
                <a:schemeClr val="dk1"/>
              </a:solidFill>
              <a:effectLst/>
              <a:latin typeface="Consolas" panose="020B0609020204030204" pitchFamily="49" charset="0"/>
              <a:ea typeface="+mn-ea"/>
              <a:cs typeface="+mn-cs"/>
            </a:rPr>
            <a:t> des lignes/colonnes.</a:t>
          </a:r>
          <a:r>
            <a:rPr lang="en-US" sz="1400" b="0" i="0" u="none" strike="noStrike" baseline="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4A66AC"/>
              </a:solidFill>
              <a:effectLst/>
              <a:uLnTx/>
              <a:uFillTx/>
              <a:latin typeface="Consolas" panose="020B0609020204030204" pitchFamily="49" charset="0"/>
              <a:ea typeface="+mn-ea"/>
              <a:cs typeface="+mn-cs"/>
              <a:sym typeface="Wingdings" panose="05000000000000000000" pitchFamily="2" charset="2"/>
            </a:rPr>
            <a:t> clic droit &gt; Masquer</a:t>
          </a:r>
          <a:br>
            <a:rPr lang="en-US" sz="1400" b="0" i="0">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Insertion</a:t>
          </a:r>
          <a:r>
            <a:rPr lang="fr-CH" sz="1400" b="0" i="0" u="none" strike="noStrike">
              <a:solidFill>
                <a:schemeClr val="dk1"/>
              </a:solidFill>
              <a:effectLst/>
              <a:latin typeface="Consolas" panose="020B0609020204030204" pitchFamily="49" charset="0"/>
              <a:ea typeface="+mn-ea"/>
              <a:cs typeface="+mn-cs"/>
            </a:rPr>
            <a:t> </a:t>
          </a:r>
          <a:r>
            <a:rPr lang="fr-CH" sz="1400" b="0" i="0">
              <a:solidFill>
                <a:schemeClr val="dk1"/>
              </a:solidFill>
              <a:effectLst/>
              <a:latin typeface="Consolas" panose="020B0609020204030204" pitchFamily="49" charset="0"/>
              <a:ea typeface="+mn-ea"/>
              <a:cs typeface="+mn-cs"/>
            </a:rPr>
            <a:t>de lignes / colonnes.</a:t>
          </a:r>
          <a:r>
            <a:rPr lang="en-US" sz="1400" b="0" i="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4A66AC"/>
              </a:solidFill>
              <a:effectLst/>
              <a:uLnTx/>
              <a:uFillTx/>
              <a:latin typeface="Consolas" panose="020B0609020204030204" pitchFamily="49" charset="0"/>
              <a:ea typeface="+mn-ea"/>
              <a:cs typeface="+mn-cs"/>
              <a:sym typeface="Wingdings" panose="05000000000000000000" pitchFamily="2" charset="2"/>
            </a:rPr>
            <a:t> clic droit &gt; Insérer</a:t>
          </a:r>
          <a:endParaRPr lang="en-US" sz="1400" b="0" i="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a:solidFill>
                <a:schemeClr val="dk1"/>
              </a:solidFill>
              <a:effectLst/>
              <a:latin typeface="Consolas" panose="020B0609020204030204" pitchFamily="49" charset="0"/>
              <a:ea typeface="+mn-ea"/>
              <a:cs typeface="+mn-cs"/>
            </a:rPr>
            <a:t>suppression</a:t>
          </a:r>
          <a:r>
            <a:rPr lang="fr-CH" sz="1400" b="0" i="0">
              <a:solidFill>
                <a:schemeClr val="dk1"/>
              </a:solidFill>
              <a:effectLst/>
              <a:latin typeface="Consolas" panose="020B0609020204030204" pitchFamily="49" charset="0"/>
              <a:ea typeface="+mn-ea"/>
              <a:cs typeface="+mn-cs"/>
            </a:rPr>
            <a:t> de lignes / colonnes.</a:t>
          </a:r>
          <a:r>
            <a:rPr lang="en-US" sz="1400" b="0" i="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4A66AC"/>
              </a:solidFill>
              <a:effectLst/>
              <a:uLnTx/>
              <a:uFillTx/>
              <a:latin typeface="Consolas" panose="020B0609020204030204" pitchFamily="49" charset="0"/>
              <a:ea typeface="+mn-ea"/>
              <a:cs typeface="+mn-cs"/>
              <a:sym typeface="Wingdings" panose="05000000000000000000" pitchFamily="2" charset="2"/>
            </a:rPr>
            <a:t> clic droit &gt; Supprimer</a:t>
          </a:r>
        </a:p>
        <a:p>
          <a:pPr marL="0" marR="0" lvl="0" indent="0" defTabSz="914400" rtl="0" eaLnBrk="1" fontAlgn="auto" latinLnBrk="0" hangingPunct="1">
            <a:lnSpc>
              <a:spcPct val="100000"/>
            </a:lnSpc>
            <a:spcBef>
              <a:spcPts val="0"/>
            </a:spcBef>
            <a:spcAft>
              <a:spcPts val="0"/>
            </a:spcAft>
            <a:buClrTx/>
            <a:buSzTx/>
            <a:buFontTx/>
            <a:buNone/>
            <a:tabLst/>
            <a:defRPr/>
          </a:pPr>
          <a:br>
            <a:rPr lang="en-US" sz="1400" b="0" i="0">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Ajustement automatique </a:t>
          </a:r>
          <a:r>
            <a:rPr lang="fr-CH" sz="1400" b="0" i="0" u="none" strike="noStrike">
              <a:solidFill>
                <a:schemeClr val="dk1"/>
              </a:solidFill>
              <a:effectLst/>
              <a:latin typeface="Consolas" panose="020B0609020204030204" pitchFamily="49" charset="0"/>
              <a:ea typeface="+mn-ea"/>
              <a:cs typeface="+mn-cs"/>
            </a:rPr>
            <a:t>sur les colonnes et les lignes (Autofit)</a:t>
          </a:r>
          <a:r>
            <a:rPr lang="fr-CH" sz="1400" b="0" i="0" u="none" strike="noStrike" baseline="0">
              <a:solidFill>
                <a:schemeClr val="dk1"/>
              </a:solidFill>
              <a:effectLst/>
              <a:latin typeface="Consolas" panose="020B0609020204030204" pitchFamily="49" charset="0"/>
              <a:ea typeface="+mn-ea"/>
              <a:cs typeface="+mn-cs"/>
            </a:rPr>
            <a:t> </a:t>
          </a:r>
          <a:r>
            <a:rPr lang="en-US" sz="1400" b="0" i="0">
              <a:solidFill>
                <a:schemeClr val="dk1"/>
              </a:solidFill>
              <a:effectLst/>
              <a:latin typeface="Consolas" panose="020B0609020204030204" pitchFamily="49" charset="0"/>
              <a:ea typeface="+mn-ea"/>
              <a:cs typeface="+mn-cs"/>
            </a:rPr>
            <a:t>​</a:t>
          </a:r>
          <a:r>
            <a:rPr kumimoji="0" lang="en-US"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 </a:t>
          </a:r>
          <a:r>
            <a:rPr kumimoji="0" lang="fr-CH" sz="1400" b="0" i="0" u="none" strike="noStrike" kern="0" cap="none" spc="0" normalizeH="0" baseline="0" noProof="0">
              <a:ln>
                <a:noFill/>
              </a:ln>
              <a:solidFill>
                <a:srgbClr val="4A66AC"/>
              </a:solidFill>
              <a:effectLst/>
              <a:uLnTx/>
              <a:uFillTx/>
              <a:latin typeface="Consolas" panose="020B0609020204030204" pitchFamily="49" charset="0"/>
              <a:ea typeface="+mn-ea"/>
              <a:cs typeface="+mn-cs"/>
              <a:sym typeface="Wingdings" panose="05000000000000000000" pitchFamily="2" charset="2"/>
            </a:rPr>
            <a:t> double clic </a:t>
          </a:r>
          <a:r>
            <a:rPr kumimoji="0" lang="fr-CH" sz="14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sym typeface="Wingdings" panose="05000000000000000000" pitchFamily="2" charset="2"/>
            </a:rPr>
            <a:t>sur une séparation de colonnes ou de lignes. </a:t>
          </a:r>
        </a:p>
        <a:p>
          <a:pPr marL="0" marR="0" lvl="0" indent="0" defTabSz="914400" rtl="0" eaLnBrk="1" fontAlgn="auto" latinLnBrk="0" hangingPunct="1">
            <a:lnSpc>
              <a:spcPct val="100000"/>
            </a:lnSpc>
            <a:spcBef>
              <a:spcPts val="0"/>
            </a:spcBef>
            <a:spcAft>
              <a:spcPts val="0"/>
            </a:spcAft>
            <a:buClrTx/>
            <a:buSzTx/>
            <a:buFontTx/>
            <a:buNone/>
            <a:tabLst/>
            <a:defRPr/>
          </a:pPr>
          <a:br>
            <a:rPr lang="en-US" sz="1400" b="0" i="0">
              <a:solidFill>
                <a:schemeClr val="dk1"/>
              </a:solidFill>
              <a:effectLst/>
              <a:latin typeface="Consolas" panose="020B0609020204030204" pitchFamily="49" charset="0"/>
              <a:ea typeface="+mn-ea"/>
              <a:cs typeface="+mn-cs"/>
            </a:rPr>
          </a:br>
          <a:endParaRPr lang="en-US" sz="1400" b="0"/>
        </a:p>
      </xdr:txBody>
    </xdr:sp>
    <xdr:clientData/>
  </xdr:twoCellAnchor>
  <xdr:twoCellAnchor>
    <xdr:from>
      <xdr:col>11</xdr:col>
      <xdr:colOff>171449</xdr:colOff>
      <xdr:row>21</xdr:row>
      <xdr:rowOff>123826</xdr:rowOff>
    </xdr:from>
    <xdr:to>
      <xdr:col>17</xdr:col>
      <xdr:colOff>171450</xdr:colOff>
      <xdr:row>33</xdr:row>
      <xdr:rowOff>180976</xdr:rowOff>
    </xdr:to>
    <xdr:sp macro="" textlink="">
      <xdr:nvSpPr>
        <xdr:cNvPr id="6" name="ZoneTexte 5">
          <a:extLst>
            <a:ext uri="{FF2B5EF4-FFF2-40B4-BE49-F238E27FC236}">
              <a16:creationId xmlns:a16="http://schemas.microsoft.com/office/drawing/2014/main" id="{9138AB91-BAB9-442B-8111-00812F8E1F23}"/>
            </a:ext>
          </a:extLst>
        </xdr:cNvPr>
        <xdr:cNvSpPr txBox="1"/>
      </xdr:nvSpPr>
      <xdr:spPr>
        <a:xfrm>
          <a:off x="13020674" y="4676776"/>
          <a:ext cx="4572001" cy="234315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Trois raccourcis importants:</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accent2">
                  <a:lumMod val="50000"/>
                </a:schemeClr>
              </a:solidFill>
              <a:effectLst/>
              <a:latin typeface="Consolas" panose="020B0609020204030204" pitchFamily="49" charset="0"/>
              <a:ea typeface="+mn-ea"/>
              <a:cs typeface="+mn-cs"/>
            </a:rPr>
            <a:t>CTRL + End </a:t>
          </a:r>
          <a:r>
            <a:rPr lang="fr-CH" sz="1400" b="0" i="0" u="none" strike="noStrike">
              <a:solidFill>
                <a:schemeClr val="dk1"/>
              </a:solidFill>
              <a:effectLst/>
              <a:latin typeface="Consolas" panose="020B0609020204030204" pitchFamily="49" charset="0"/>
              <a:ea typeface="+mn-ea"/>
              <a:cs typeface="+mn-cs"/>
            </a:rPr>
            <a:t>: positionne le curseur sur la dernière celllule utilisée dans votre feuille.</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accent2">
                  <a:lumMod val="50000"/>
                </a:schemeClr>
              </a:solidFill>
              <a:effectLst/>
              <a:latin typeface="Consolas" panose="020B0609020204030204" pitchFamily="49" charset="0"/>
              <a:ea typeface="+mn-ea"/>
              <a:cs typeface="+mn-cs"/>
            </a:rPr>
            <a:t>CTRL + Home </a:t>
          </a:r>
          <a:r>
            <a:rPr lang="fr-CH" sz="1400" b="0" i="0" u="none" strike="noStrike">
              <a:solidFill>
                <a:schemeClr val="dk1"/>
              </a:solidFill>
              <a:effectLst/>
              <a:latin typeface="Consolas" panose="020B0609020204030204" pitchFamily="49" charset="0"/>
              <a:ea typeface="+mn-ea"/>
              <a:cs typeface="+mn-cs"/>
            </a:rPr>
            <a:t>: retourne en cellule A1.</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accent2">
                  <a:lumMod val="50000"/>
                </a:schemeClr>
              </a:solidFill>
              <a:effectLst/>
              <a:latin typeface="Consolas" panose="020B0609020204030204" pitchFamily="49" charset="0"/>
              <a:ea typeface="+mn-ea"/>
              <a:cs typeface="+mn-cs"/>
            </a:rPr>
            <a:t>CTRL + A </a:t>
          </a:r>
          <a:r>
            <a:rPr lang="fr-CH" sz="1400" b="0" i="0" u="none" strike="noStrike">
              <a:solidFill>
                <a:schemeClr val="dk1"/>
              </a:solidFill>
              <a:effectLst/>
              <a:latin typeface="Consolas" panose="020B0609020204030204" pitchFamily="49" charset="0"/>
              <a:ea typeface="+mn-ea"/>
              <a:cs typeface="+mn-cs"/>
            </a:rPr>
            <a:t>: sélectionne toutes les cellules connectées a la cellule de départ.</a:t>
          </a:r>
          <a:r>
            <a:rPr lang="en-US"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oneCellAnchor>
    <xdr:from>
      <xdr:col>0</xdr:col>
      <xdr:colOff>1143169</xdr:colOff>
      <xdr:row>0</xdr:row>
      <xdr:rowOff>97923</xdr:rowOff>
    </xdr:from>
    <xdr:ext cx="10001841" cy="843757"/>
    <xdr:sp macro="" textlink="">
      <xdr:nvSpPr>
        <xdr:cNvPr id="7" name="Rectangle 6">
          <a:extLst>
            <a:ext uri="{FF2B5EF4-FFF2-40B4-BE49-F238E27FC236}">
              <a16:creationId xmlns:a16="http://schemas.microsoft.com/office/drawing/2014/main" id="{F371BDA6-708F-4581-E2AC-8DEA06A47E83}"/>
            </a:ext>
          </a:extLst>
        </xdr:cNvPr>
        <xdr:cNvSpPr/>
      </xdr:nvSpPr>
      <xdr:spPr>
        <a:xfrm>
          <a:off x="1143169" y="97923"/>
          <a:ext cx="10001841" cy="843757"/>
        </a:xfrm>
        <a:prstGeom prst="rect">
          <a:avLst/>
        </a:prstGeom>
        <a:noFill/>
      </xdr:spPr>
      <xdr:txBody>
        <a:bodyPr wrap="none" lIns="91440" tIns="45720" rIns="91440" bIns="45720">
          <a:spAutoFit/>
        </a:bodyPr>
        <a:lstStyle/>
        <a:p>
          <a:pPr algn="ct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Travailler avec</a:t>
          </a:r>
          <a:r>
            <a:rPr lang="fr-FR" sz="4800" b="0" i="1" cap="none" spc="0" baseline="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 les lignes et les colonnes</a:t>
          </a:r>
          <a:endPar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endParaRPr>
        </a:p>
      </xdr:txBody>
    </xdr:sp>
    <xdr:clientData/>
  </xdr:oneCellAnchor>
  <xdr:twoCellAnchor editAs="oneCell">
    <xdr:from>
      <xdr:col>1</xdr:col>
      <xdr:colOff>4914900</xdr:colOff>
      <xdr:row>30</xdr:row>
      <xdr:rowOff>47625</xdr:rowOff>
    </xdr:from>
    <xdr:to>
      <xdr:col>2</xdr:col>
      <xdr:colOff>238125</xdr:colOff>
      <xdr:row>31</xdr:row>
      <xdr:rowOff>161925</xdr:rowOff>
    </xdr:to>
    <xdr:pic>
      <xdr:nvPicPr>
        <xdr:cNvPr id="9" name="Image 8">
          <a:extLst>
            <a:ext uri="{FF2B5EF4-FFF2-40B4-BE49-F238E27FC236}">
              <a16:creationId xmlns:a16="http://schemas.microsoft.com/office/drawing/2014/main" id="{5CF92CBF-6881-DA91-F279-1F098EB981CC}"/>
            </a:ext>
          </a:extLst>
        </xdr:cNvPr>
        <xdr:cNvPicPr>
          <a:picLocks noChangeAspect="1"/>
        </xdr:cNvPicPr>
      </xdr:nvPicPr>
      <xdr:blipFill>
        <a:blip xmlns:r="http://schemas.openxmlformats.org/officeDocument/2006/relationships" r:embed="rId1"/>
        <a:stretch>
          <a:fillRect/>
        </a:stretch>
      </xdr:blipFill>
      <xdr:spPr>
        <a:xfrm>
          <a:off x="6076950" y="6477000"/>
          <a:ext cx="304800" cy="304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133350</xdr:colOff>
      <xdr:row>2</xdr:row>
      <xdr:rowOff>123826</xdr:rowOff>
    </xdr:from>
    <xdr:to>
      <xdr:col>2</xdr:col>
      <xdr:colOff>485775</xdr:colOff>
      <xdr:row>12</xdr:row>
      <xdr:rowOff>152400</xdr:rowOff>
    </xdr:to>
    <xdr:sp macro="" textlink="">
      <xdr:nvSpPr>
        <xdr:cNvPr id="2" name="ZoneTexte 1">
          <a:extLst>
            <a:ext uri="{FF2B5EF4-FFF2-40B4-BE49-F238E27FC236}">
              <a16:creationId xmlns:a16="http://schemas.microsoft.com/office/drawing/2014/main" id="{C144A236-0909-42DB-8307-C8D4F9EA88F6}"/>
            </a:ext>
          </a:extLst>
        </xdr:cNvPr>
        <xdr:cNvSpPr txBox="1"/>
      </xdr:nvSpPr>
      <xdr:spPr>
        <a:xfrm>
          <a:off x="133350" y="1152526"/>
          <a:ext cx="6457950" cy="19335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Insérer / modifier du contenu</a:t>
          </a:r>
          <a:r>
            <a:rPr lang="fr-CH" sz="1400" b="0" i="0" u="none" strike="noStrike">
              <a:solidFill>
                <a:schemeClr val="dk1"/>
              </a:solidFill>
              <a:effectLst/>
              <a:latin typeface="Consolas" panose="020B0609020204030204" pitchFamily="49" charset="0"/>
              <a:ea typeface="+mn-ea"/>
              <a:cs typeface="+mn-cs"/>
            </a:rPr>
            <a:t> dans une cellule / via la barre de formule.​</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Insérer une valeur identique dans une plage </a:t>
          </a:r>
          <a:r>
            <a:rPr lang="fr-CH" sz="1400" b="0" i="0" u="none" strike="noStrike">
              <a:solidFill>
                <a:schemeClr val="dk1"/>
              </a:solidFill>
              <a:effectLst/>
              <a:latin typeface="Consolas" panose="020B0609020204030204" pitchFamily="49" charset="0"/>
              <a:ea typeface="+mn-ea"/>
              <a:cs typeface="+mn-cs"/>
            </a:rPr>
            <a:t>: sélectionnez toute la</a:t>
          </a:r>
          <a:r>
            <a:rPr lang="fr-CH" sz="1400" b="0" i="0" u="none" strike="noStrike" baseline="0">
              <a:solidFill>
                <a:schemeClr val="dk1"/>
              </a:solidFill>
              <a:effectLst/>
              <a:latin typeface="Consolas" panose="020B0609020204030204" pitchFamily="49" charset="0"/>
              <a:ea typeface="+mn-ea"/>
              <a:cs typeface="+mn-cs"/>
            </a:rPr>
            <a:t> table avec CTRL+A puis allez dans </a:t>
          </a:r>
          <a:r>
            <a:rPr lang="fr-CH" sz="1400" b="1" i="0" u="none" strike="noStrike" baseline="0">
              <a:solidFill>
                <a:schemeClr val="accent2">
                  <a:lumMod val="50000"/>
                </a:schemeClr>
              </a:solidFill>
              <a:effectLst/>
              <a:latin typeface="Consolas" panose="020B0609020204030204" pitchFamily="49" charset="0"/>
              <a:ea typeface="+mn-ea"/>
              <a:cs typeface="+mn-cs"/>
            </a:rPr>
            <a:t>Accueil &gt; Rechercher et sélectionner &gt; Sélectionner les cellules &gt; cellules vides </a:t>
          </a:r>
          <a:r>
            <a:rPr lang="fr-CH" sz="1400" b="0" i="0" u="none" strike="noStrike" baseline="0">
              <a:solidFill>
                <a:schemeClr val="dk1"/>
              </a:solidFill>
              <a:effectLst/>
              <a:latin typeface="Consolas" panose="020B0609020204030204" pitchFamily="49" charset="0"/>
              <a:ea typeface="+mn-ea"/>
              <a:cs typeface="+mn-cs"/>
            </a:rPr>
            <a:t>puis tapez '0' et</a:t>
          </a:r>
          <a:r>
            <a:rPr lang="fr-CH" sz="1400" b="0" i="0" u="none" strike="noStrike">
              <a:solidFill>
                <a:schemeClr val="dk1"/>
              </a:solidFill>
              <a:effectLst/>
              <a:latin typeface="Consolas" panose="020B0609020204030204" pitchFamily="49" charset="0"/>
              <a:ea typeface="+mn-ea"/>
              <a:cs typeface="+mn-cs"/>
            </a:rPr>
            <a:t> appuyez sur Ctrl + Entrée pour dupliquer automatiquement cette valeur dans toutes les cellules sélectionnées (initialement vides).</a:t>
          </a:r>
          <a:br>
            <a:rPr lang="en-US" sz="1400" b="0" i="0" u="none" strike="noStrike">
              <a:solidFill>
                <a:schemeClr val="dk1"/>
              </a:solidFill>
              <a:effectLst/>
              <a:latin typeface="Consolas" panose="020B0609020204030204" pitchFamily="49" charset="0"/>
              <a:ea typeface="+mn-ea"/>
              <a:cs typeface="+mn-cs"/>
            </a:rPr>
          </a:b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0</xdr:col>
      <xdr:colOff>133350</xdr:colOff>
      <xdr:row>14</xdr:row>
      <xdr:rowOff>38100</xdr:rowOff>
    </xdr:from>
    <xdr:to>
      <xdr:col>2</xdr:col>
      <xdr:colOff>485775</xdr:colOff>
      <xdr:row>27</xdr:row>
      <xdr:rowOff>85725</xdr:rowOff>
    </xdr:to>
    <xdr:sp macro="" textlink="">
      <xdr:nvSpPr>
        <xdr:cNvPr id="4" name="ZoneTexte 3">
          <a:extLst>
            <a:ext uri="{FF2B5EF4-FFF2-40B4-BE49-F238E27FC236}">
              <a16:creationId xmlns:a16="http://schemas.microsoft.com/office/drawing/2014/main" id="{A8BBDBC8-8850-4C60-A72D-BFC084AC2A75}"/>
            </a:ext>
          </a:extLst>
        </xdr:cNvPr>
        <xdr:cNvSpPr txBox="1"/>
      </xdr:nvSpPr>
      <xdr:spPr>
        <a:xfrm>
          <a:off x="133350" y="3352800"/>
          <a:ext cx="6457950" cy="252412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Sélection d’un bloc de cellules </a:t>
          </a:r>
          <a:r>
            <a:rPr lang="fr-CH" sz="1400" b="0" i="0" u="none" strike="noStrike">
              <a:solidFill>
                <a:schemeClr val="dk1"/>
              </a:solidFill>
              <a:effectLst/>
              <a:latin typeface="Consolas" panose="020B0609020204030204" pitchFamily="49" charset="0"/>
              <a:ea typeface="+mn-ea"/>
              <a:cs typeface="+mn-cs"/>
            </a:rPr>
            <a:t>: cliquez sur la première cellule, puis maintenez MAJ</a:t>
          </a:r>
          <a:r>
            <a:rPr lang="fr-CH" sz="1400" b="0" i="0" u="none" strike="noStrike" baseline="0">
              <a:solidFill>
                <a:schemeClr val="dk1"/>
              </a:solidFill>
              <a:effectLst/>
              <a:latin typeface="Consolas" panose="020B0609020204030204" pitchFamily="49" charset="0"/>
              <a:ea typeface="+mn-ea"/>
              <a:cs typeface="+mn-cs"/>
            </a:rPr>
            <a:t> enfoncée en </a:t>
          </a:r>
          <a:r>
            <a:rPr lang="fr-CH" sz="1400" b="0" i="0" u="none" strike="noStrike">
              <a:solidFill>
                <a:schemeClr val="dk1"/>
              </a:solidFill>
              <a:effectLst/>
              <a:latin typeface="Consolas" panose="020B0609020204030204" pitchFamily="49" charset="0"/>
              <a:ea typeface="+mn-ea"/>
              <a:cs typeface="+mn-cs"/>
            </a:rPr>
            <a:t>cliquant sur la dernière cellule de la plage souhaitée. Toutes les cellules entre la première et la dernière seront sélectionnées (sélection contiguë).​</a:t>
          </a:r>
          <a:br>
            <a:rPr lang="fr-CH" sz="1400" b="0" i="0" u="none" strike="noStrike">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Sélection de cellules aléatoires </a:t>
          </a:r>
          <a:r>
            <a:rPr lang="fr-CH" sz="1400" b="0" i="0" u="none" strike="noStrike">
              <a:solidFill>
                <a:schemeClr val="dk1"/>
              </a:solidFill>
              <a:effectLst/>
              <a:latin typeface="Consolas" panose="020B0609020204030204" pitchFamily="49" charset="0"/>
              <a:ea typeface="+mn-ea"/>
              <a:cs typeface="+mn-cs"/>
            </a:rPr>
            <a:t>: Cliquez sur n’importe quelle cellule puis maintenez</a:t>
          </a:r>
          <a:r>
            <a:rPr lang="fr-CH" sz="1400" b="0" i="0" u="none" strike="noStrike" baseline="0">
              <a:solidFill>
                <a:schemeClr val="dk1"/>
              </a:solidFill>
              <a:effectLst/>
              <a:latin typeface="Consolas" panose="020B0609020204030204" pitchFamily="49" charset="0"/>
              <a:ea typeface="+mn-ea"/>
              <a:cs typeface="+mn-cs"/>
            </a:rPr>
            <a:t> </a:t>
          </a:r>
          <a:r>
            <a:rPr lang="fr-CH" sz="1400" b="0" i="0" u="none" strike="noStrike">
              <a:solidFill>
                <a:schemeClr val="dk1"/>
              </a:solidFill>
              <a:effectLst/>
              <a:latin typeface="Consolas" panose="020B0609020204030204" pitchFamily="49" charset="0"/>
              <a:ea typeface="+mn-ea"/>
              <a:cs typeface="+mn-cs"/>
            </a:rPr>
            <a:t>Ctrl</a:t>
          </a:r>
          <a:r>
            <a:rPr lang="fr-CH" sz="1400" b="0" i="0" u="none" strike="noStrike" baseline="0">
              <a:solidFill>
                <a:schemeClr val="dk1"/>
              </a:solidFill>
              <a:effectLst/>
              <a:latin typeface="Consolas" panose="020B0609020204030204" pitchFamily="49" charset="0"/>
              <a:ea typeface="+mn-ea"/>
              <a:cs typeface="+mn-cs"/>
            </a:rPr>
            <a:t> enfoncée en </a:t>
          </a:r>
          <a:r>
            <a:rPr lang="fr-CH" sz="1400" b="0" i="0" u="none" strike="noStrike">
              <a:solidFill>
                <a:schemeClr val="dk1"/>
              </a:solidFill>
              <a:effectLst/>
              <a:latin typeface="Consolas" panose="020B0609020204030204" pitchFamily="49" charset="0"/>
              <a:ea typeface="+mn-ea"/>
              <a:cs typeface="+mn-cs"/>
            </a:rPr>
            <a:t>cliquant sur n’importe quelle autre cellule pour l’ajouter à la sélection actuelle.</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Consolas" panose="020B0609020204030204" pitchFamily="49" charset="0"/>
              <a:ea typeface="+mn-ea"/>
              <a:cs typeface="+mn-cs"/>
            </a:rPr>
            <a:t>MAJ + Espace </a:t>
          </a:r>
          <a:r>
            <a:rPr lang="en-US" sz="1400" b="0" i="0" u="none" strike="noStrike">
              <a:solidFill>
                <a:schemeClr val="dk1"/>
              </a:solidFill>
              <a:effectLst/>
              <a:latin typeface="Consolas" panose="020B0609020204030204" pitchFamily="49" charset="0"/>
              <a:ea typeface="+mn-ea"/>
              <a:cs typeface="+mn-cs"/>
            </a:rPr>
            <a:t>sélectionne la</a:t>
          </a:r>
          <a:r>
            <a:rPr lang="en-US" sz="1400" b="0" i="0" u="none" strike="noStrike" baseline="0">
              <a:solidFill>
                <a:schemeClr val="dk1"/>
              </a:solidFill>
              <a:effectLst/>
              <a:latin typeface="Consolas" panose="020B0609020204030204" pitchFamily="49" charset="0"/>
              <a:ea typeface="+mn-ea"/>
              <a:cs typeface="+mn-cs"/>
            </a:rPr>
            <a:t> ligne courante.</a:t>
          </a:r>
          <a:br>
            <a:rPr lang="en-US" sz="1400" b="0" i="0" u="none" strike="noStrike" baseline="0">
              <a:solidFill>
                <a:schemeClr val="dk1"/>
              </a:solidFill>
              <a:effectLst/>
              <a:latin typeface="Consolas" panose="020B0609020204030204" pitchFamily="49" charset="0"/>
              <a:ea typeface="+mn-ea"/>
              <a:cs typeface="+mn-cs"/>
            </a:rPr>
          </a:br>
          <a:r>
            <a:rPr lang="en-US" sz="1400" b="1" i="0" u="none" strike="noStrike" baseline="0">
              <a:solidFill>
                <a:schemeClr val="dk1"/>
              </a:solidFill>
              <a:effectLst/>
              <a:latin typeface="Consolas" panose="020B0609020204030204" pitchFamily="49" charset="0"/>
              <a:ea typeface="+mn-ea"/>
              <a:cs typeface="+mn-cs"/>
            </a:rPr>
            <a:t>CTRL + Espace </a:t>
          </a:r>
          <a:r>
            <a:rPr lang="en-US" sz="1400" b="0" i="0" u="none" strike="noStrike" baseline="0">
              <a:solidFill>
                <a:schemeClr val="dk1"/>
              </a:solidFill>
              <a:effectLst/>
              <a:latin typeface="Consolas" panose="020B0609020204030204" pitchFamily="49" charset="0"/>
              <a:ea typeface="+mn-ea"/>
              <a:cs typeface="+mn-cs"/>
            </a:rPr>
            <a:t>sélectionne la colonne courante.</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0</xdr:col>
      <xdr:colOff>123825</xdr:colOff>
      <xdr:row>28</xdr:row>
      <xdr:rowOff>104775</xdr:rowOff>
    </xdr:from>
    <xdr:to>
      <xdr:col>2</xdr:col>
      <xdr:colOff>476250</xdr:colOff>
      <xdr:row>36</xdr:row>
      <xdr:rowOff>66674</xdr:rowOff>
    </xdr:to>
    <xdr:sp macro="" textlink="">
      <xdr:nvSpPr>
        <xdr:cNvPr id="5" name="ZoneTexte 4">
          <a:extLst>
            <a:ext uri="{FF2B5EF4-FFF2-40B4-BE49-F238E27FC236}">
              <a16:creationId xmlns:a16="http://schemas.microsoft.com/office/drawing/2014/main" id="{1172410A-A438-4AFE-8C12-2412767579A0}"/>
            </a:ext>
          </a:extLst>
        </xdr:cNvPr>
        <xdr:cNvSpPr txBox="1"/>
      </xdr:nvSpPr>
      <xdr:spPr>
        <a:xfrm>
          <a:off x="123825" y="6086475"/>
          <a:ext cx="6457950" cy="148589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Atteindre la cellule de votre choix</a:t>
          </a:r>
          <a:r>
            <a:rPr lang="fr-CH" sz="1400" b="0" i="0" u="none" strike="noStrike">
              <a:solidFill>
                <a:schemeClr val="dk1"/>
              </a:solidFill>
              <a:effectLst/>
              <a:latin typeface="Consolas" panose="020B0609020204030204" pitchFamily="49" charset="0"/>
              <a:ea typeface="+mn-ea"/>
              <a:cs typeface="+mn-cs"/>
            </a:rPr>
            <a:t>: pour déplacer le curseur sur la cellule PP320, cliquez dans la barre de nom et tapez le PP320 dans celle-ci. Le curseur se</a:t>
          </a:r>
          <a:r>
            <a:rPr lang="fr-CH" sz="1400" b="0" i="0" u="none" strike="noStrike" baseline="0">
              <a:solidFill>
                <a:schemeClr val="dk1"/>
              </a:solidFill>
              <a:effectLst/>
              <a:latin typeface="Consolas" panose="020B0609020204030204" pitchFamily="49" charset="0"/>
              <a:ea typeface="+mn-ea"/>
              <a:cs typeface="+mn-cs"/>
            </a:rPr>
            <a:t> déplace alors dans </a:t>
          </a:r>
          <a:r>
            <a:rPr lang="fr-CH" sz="1400" b="0" i="0" u="none" strike="noStrike">
              <a:solidFill>
                <a:schemeClr val="dk1"/>
              </a:solidFill>
              <a:effectLst/>
              <a:latin typeface="Consolas" panose="020B0609020204030204" pitchFamily="49" charset="0"/>
              <a:ea typeface="+mn-ea"/>
              <a:cs typeface="+mn-cs"/>
            </a:rPr>
            <a:t>cette cellule. </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Vous pouvez également accéder à </a:t>
          </a:r>
          <a:r>
            <a:rPr lang="fr-CH" sz="1400" b="1" i="0" u="none" strike="noStrike">
              <a:solidFill>
                <a:schemeClr val="accent2">
                  <a:lumMod val="50000"/>
                </a:schemeClr>
              </a:solidFill>
              <a:effectLst/>
              <a:latin typeface="Consolas" panose="020B0609020204030204" pitchFamily="49" charset="0"/>
              <a:ea typeface="+mn-ea"/>
              <a:cs typeface="+mn-cs"/>
            </a:rPr>
            <a:t>Accueil &gt; Rechercher et sélectionner &gt; Aller à</a:t>
          </a:r>
          <a:r>
            <a:rPr lang="fr-CH" sz="1400" b="0" i="0" u="none" strike="noStrike">
              <a:solidFill>
                <a:schemeClr val="dk1"/>
              </a:solidFill>
              <a:effectLst/>
              <a:latin typeface="Consolas" panose="020B0609020204030204" pitchFamily="49" charset="0"/>
              <a:ea typeface="+mn-ea"/>
              <a:cs typeface="+mn-cs"/>
            </a:rPr>
            <a:t>.</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10</xdr:col>
      <xdr:colOff>209549</xdr:colOff>
      <xdr:row>2</xdr:row>
      <xdr:rowOff>133351</xdr:rowOff>
    </xdr:from>
    <xdr:to>
      <xdr:col>16</xdr:col>
      <xdr:colOff>209550</xdr:colOff>
      <xdr:row>23</xdr:row>
      <xdr:rowOff>133350</xdr:rowOff>
    </xdr:to>
    <xdr:sp macro="" textlink="">
      <xdr:nvSpPr>
        <xdr:cNvPr id="6" name="ZoneTexte 5">
          <a:extLst>
            <a:ext uri="{FF2B5EF4-FFF2-40B4-BE49-F238E27FC236}">
              <a16:creationId xmlns:a16="http://schemas.microsoft.com/office/drawing/2014/main" id="{E4BC0418-2130-4157-8271-A0ACD0D852A8}"/>
            </a:ext>
          </a:extLst>
        </xdr:cNvPr>
        <xdr:cNvSpPr txBox="1"/>
      </xdr:nvSpPr>
      <xdr:spPr>
        <a:xfrm>
          <a:off x="12306299" y="1162051"/>
          <a:ext cx="4572001" cy="400049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5 raccourcis importants:</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a:solidFill>
                <a:schemeClr val="accent2">
                  <a:lumMod val="50000"/>
                </a:schemeClr>
              </a:solidFill>
              <a:effectLst/>
              <a:latin typeface="Consolas" panose="020B0609020204030204" pitchFamily="49" charset="0"/>
              <a:ea typeface="+mn-ea"/>
              <a:cs typeface="+mn-cs"/>
            </a:rPr>
            <a:t>CTRL + C </a:t>
          </a:r>
          <a:r>
            <a:rPr lang="fr-CH" sz="1400" b="0" i="0" u="none" strike="noStrike" baseline="0">
              <a:solidFill>
                <a:schemeClr val="dk1"/>
              </a:solidFill>
              <a:effectLst/>
              <a:latin typeface="Consolas" panose="020B0609020204030204" pitchFamily="49" charset="0"/>
              <a:ea typeface="+mn-ea"/>
              <a:cs typeface="+mn-cs"/>
            </a:rPr>
            <a:t>: Copie la sélection actuelle dans le presse-papiers.</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a:solidFill>
                <a:schemeClr val="accent2">
                  <a:lumMod val="50000"/>
                </a:schemeClr>
              </a:solidFill>
              <a:effectLst/>
              <a:latin typeface="Consolas" panose="020B0609020204030204" pitchFamily="49" charset="0"/>
              <a:ea typeface="+mn-ea"/>
              <a:cs typeface="+mn-cs"/>
            </a:rPr>
            <a:t>CTRL + V </a:t>
          </a:r>
          <a:r>
            <a:rPr lang="fr-CH" sz="1400" b="0" i="0" u="none" strike="noStrike" baseline="0">
              <a:solidFill>
                <a:schemeClr val="dk1"/>
              </a:solidFill>
              <a:effectLst/>
              <a:latin typeface="Consolas" panose="020B0609020204030204" pitchFamily="49" charset="0"/>
              <a:ea typeface="+mn-ea"/>
              <a:cs typeface="+mn-cs"/>
            </a:rPr>
            <a:t>: colle le contenu du press-papiers dans la cellule sélectionnée.</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a:solidFill>
                <a:schemeClr val="accent2">
                  <a:lumMod val="50000"/>
                </a:schemeClr>
              </a:solidFill>
              <a:effectLst/>
              <a:latin typeface="Consolas" panose="020B0609020204030204" pitchFamily="49" charset="0"/>
              <a:ea typeface="+mn-ea"/>
              <a:cs typeface="+mn-cs"/>
            </a:rPr>
            <a:t>CTRL + X </a:t>
          </a:r>
          <a:r>
            <a:rPr lang="fr-CH" sz="1400" b="0" i="0" u="none" strike="noStrike" baseline="0">
              <a:solidFill>
                <a:schemeClr val="dk1"/>
              </a:solidFill>
              <a:effectLst/>
              <a:latin typeface="Consolas" panose="020B0609020204030204" pitchFamily="49" charset="0"/>
              <a:ea typeface="+mn-ea"/>
              <a:cs typeface="+mn-cs"/>
            </a:rPr>
            <a:t>: idem que coller mais efface la sélection initiale.</a:t>
          </a:r>
          <a:r>
            <a:rPr lang="en-US" sz="1400" b="0" i="0">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endPar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1"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rPr>
            <a:t>CTRL + Z </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 annule la dernière opération. Apppuyez plusieurs fois pour annuler plusieurs opérations.</a:t>
          </a:r>
          <a:r>
            <a:rPr kumimoji="0" lang="en-US"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a:t>
          </a:r>
          <a:endParaRPr lang="en-US" sz="1400" b="0"/>
        </a:p>
        <a:p>
          <a:pPr marL="0" marR="0" lvl="0" indent="0" defTabSz="914400" rtl="0" eaLnBrk="1" fontAlgn="auto" latinLnBrk="0" hangingPunct="1">
            <a:lnSpc>
              <a:spcPct val="100000"/>
            </a:lnSpc>
            <a:spcBef>
              <a:spcPts val="0"/>
            </a:spcBef>
            <a:spcAft>
              <a:spcPts val="0"/>
            </a:spcAft>
            <a:buClrTx/>
            <a:buSzTx/>
            <a:buFontTx/>
            <a:buNone/>
            <a:tabLst/>
            <a:defRPr/>
          </a:pPr>
          <a:endPar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1"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rPr>
            <a:t>CTRL + Y </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 Rétablit la dernière opération annulée.</a:t>
          </a:r>
          <a:r>
            <a:rPr kumimoji="0" lang="en-US"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a:t>
          </a:r>
        </a:p>
        <a:p>
          <a:endParaRPr lang="en-US" sz="1400" b="0"/>
        </a:p>
      </xdr:txBody>
    </xdr:sp>
    <xdr:clientData/>
  </xdr:twoCellAnchor>
  <xdr:oneCellAnchor>
    <xdr:from>
      <xdr:col>0</xdr:col>
      <xdr:colOff>1201933</xdr:colOff>
      <xdr:row>0</xdr:row>
      <xdr:rowOff>0</xdr:rowOff>
    </xdr:from>
    <xdr:ext cx="6588663" cy="843757"/>
    <xdr:sp macro="" textlink="">
      <xdr:nvSpPr>
        <xdr:cNvPr id="7" name="Rectangle 6">
          <a:extLst>
            <a:ext uri="{FF2B5EF4-FFF2-40B4-BE49-F238E27FC236}">
              <a16:creationId xmlns:a16="http://schemas.microsoft.com/office/drawing/2014/main" id="{F1A18F40-6F3E-4A3F-94C6-9A5D9E5514C3}"/>
            </a:ext>
          </a:extLst>
        </xdr:cNvPr>
        <xdr:cNvSpPr/>
      </xdr:nvSpPr>
      <xdr:spPr>
        <a:xfrm>
          <a:off x="1201933" y="0"/>
          <a:ext cx="6588663" cy="843757"/>
        </a:xfrm>
        <a:prstGeom prst="rect">
          <a:avLst/>
        </a:prstGeom>
        <a:noFill/>
      </xdr:spPr>
      <xdr:txBody>
        <a:bodyPr wrap="none" lIns="91440" tIns="45720" rIns="91440" bIns="45720">
          <a:spAutoFit/>
        </a:bodyPr>
        <a:lstStyle/>
        <a:p>
          <a:pPr algn="ct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Travailler avec</a:t>
          </a:r>
          <a:r>
            <a:rPr lang="fr-FR" sz="4800" b="0" i="1" cap="none" spc="0" baseline="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 les cellules</a:t>
          </a:r>
          <a:endPar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endParaRPr>
        </a:p>
      </xdr:txBody>
    </xdr:sp>
    <xdr:clientData/>
  </xdr:oneCellAnchor>
  <xdr:twoCellAnchor>
    <xdr:from>
      <xdr:col>10</xdr:col>
      <xdr:colOff>238124</xdr:colOff>
      <xdr:row>24</xdr:row>
      <xdr:rowOff>57151</xdr:rowOff>
    </xdr:from>
    <xdr:to>
      <xdr:col>16</xdr:col>
      <xdr:colOff>238125</xdr:colOff>
      <xdr:row>38</xdr:row>
      <xdr:rowOff>95250</xdr:rowOff>
    </xdr:to>
    <xdr:sp macro="" textlink="">
      <xdr:nvSpPr>
        <xdr:cNvPr id="12" name="ZoneTexte 11">
          <a:extLst>
            <a:ext uri="{FF2B5EF4-FFF2-40B4-BE49-F238E27FC236}">
              <a16:creationId xmlns:a16="http://schemas.microsoft.com/office/drawing/2014/main" id="{D233C4D4-0C52-422F-B77E-962AF492F974}"/>
            </a:ext>
          </a:extLst>
        </xdr:cNvPr>
        <xdr:cNvSpPr txBox="1"/>
      </xdr:nvSpPr>
      <xdr:spPr>
        <a:xfrm>
          <a:off x="12334874" y="5276851"/>
          <a:ext cx="4572001" cy="270509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Déplacement rapides:</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r>
            <a:rPr lang="fr-CH" sz="1400" b="0" i="0" u="none" strike="noStrike">
              <a:solidFill>
                <a:schemeClr val="dk1"/>
              </a:solidFill>
              <a:effectLst/>
              <a:latin typeface="Consolas" panose="020B0609020204030204" pitchFamily="49" charset="0"/>
              <a:ea typeface="+mn-ea"/>
              <a:cs typeface="+mn-cs"/>
            </a:rPr>
            <a:t>Utilisez la molette</a:t>
          </a:r>
          <a:r>
            <a:rPr lang="fr-CH" sz="1400" b="0" i="0" u="none" strike="noStrike" baseline="0">
              <a:solidFill>
                <a:schemeClr val="dk1"/>
              </a:solidFill>
              <a:effectLst/>
              <a:latin typeface="Consolas" panose="020B0609020204030204" pitchFamily="49" charset="0"/>
              <a:ea typeface="+mn-ea"/>
              <a:cs typeface="+mn-cs"/>
            </a:rPr>
            <a:t> de la souris pour défiler verticalement dans une feuille.</a:t>
          </a:r>
          <a:br>
            <a:rPr lang="fr-CH" sz="1400" b="0" i="0" u="none" strike="noStrike" baseline="0">
              <a:solidFill>
                <a:schemeClr val="dk1"/>
              </a:solidFill>
              <a:effectLst/>
              <a:latin typeface="Consolas" panose="020B0609020204030204" pitchFamily="49" charset="0"/>
              <a:ea typeface="+mn-ea"/>
              <a:cs typeface="+mn-cs"/>
            </a:rPr>
          </a:br>
          <a:endParaRPr lang="fr-CH" sz="1400" b="0" i="0" u="none" strike="noStrike" baseline="0">
            <a:solidFill>
              <a:schemeClr val="dk1"/>
            </a:solidFill>
            <a:effectLst/>
            <a:latin typeface="Consolas" panose="020B0609020204030204" pitchFamily="49" charset="0"/>
            <a:ea typeface="+mn-ea"/>
            <a:cs typeface="+mn-cs"/>
          </a:endParaRPr>
        </a:p>
        <a:p>
          <a:r>
            <a:rPr lang="fr-CH" sz="1400" b="0" i="0" u="none" strike="noStrike" baseline="0">
              <a:solidFill>
                <a:schemeClr val="dk1"/>
              </a:solidFill>
              <a:effectLst/>
              <a:latin typeface="Consolas" panose="020B0609020204030204" pitchFamily="49" charset="0"/>
              <a:ea typeface="+mn-ea"/>
              <a:cs typeface="+mn-cs"/>
            </a:rPr>
            <a:t>En appuyant en même temps sur CTRL, vous pourrez zoomer en avant et en arrière dans votre feuille.</a:t>
          </a:r>
        </a:p>
        <a:p>
          <a:endParaRPr lang="fr-CH" sz="1400" b="0" i="0" u="none" strike="noStrike" baseline="0">
            <a:solidFill>
              <a:schemeClr val="dk1"/>
            </a:solidFill>
            <a:effectLst/>
            <a:latin typeface="Consolas" panose="020B0609020204030204" pitchFamily="49" charset="0"/>
            <a:ea typeface="+mn-ea"/>
            <a:cs typeface="+mn-cs"/>
          </a:endParaRPr>
        </a:p>
        <a:p>
          <a:r>
            <a:rPr lang="fr-CH" sz="1400" b="0" i="0" u="none" strike="noStrike" baseline="0">
              <a:solidFill>
                <a:schemeClr val="dk1"/>
              </a:solidFill>
              <a:effectLst/>
              <a:latin typeface="Consolas" panose="020B0609020204030204" pitchFamily="49" charset="0"/>
              <a:ea typeface="+mn-ea"/>
              <a:cs typeface="+mn-cs"/>
            </a:rPr>
            <a:t>En mainteant MAJ + CTRL enfoncées, vous pourrez faire défiler vers la droite ou la gauche.</a:t>
          </a:r>
          <a:endParaRPr lang="en-US" sz="14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171450</xdr:colOff>
      <xdr:row>2</xdr:row>
      <xdr:rowOff>123826</xdr:rowOff>
    </xdr:from>
    <xdr:to>
      <xdr:col>2</xdr:col>
      <xdr:colOff>523875</xdr:colOff>
      <xdr:row>9</xdr:row>
      <xdr:rowOff>19050</xdr:rowOff>
    </xdr:to>
    <xdr:sp macro="" textlink="">
      <xdr:nvSpPr>
        <xdr:cNvPr id="2" name="ZoneTexte 1">
          <a:extLst>
            <a:ext uri="{FF2B5EF4-FFF2-40B4-BE49-F238E27FC236}">
              <a16:creationId xmlns:a16="http://schemas.microsoft.com/office/drawing/2014/main" id="{08AFB543-7480-47EF-BE22-01A2E07D940A}"/>
            </a:ext>
          </a:extLst>
        </xdr:cNvPr>
        <xdr:cNvSpPr txBox="1"/>
      </xdr:nvSpPr>
      <xdr:spPr>
        <a:xfrm>
          <a:off x="171450" y="1057276"/>
          <a:ext cx="6457950" cy="133349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Alignement automatique </a:t>
          </a:r>
          <a:r>
            <a:rPr lang="fr-CH" sz="1400" b="0" i="0" u="none" strike="noStrike">
              <a:solidFill>
                <a:schemeClr val="dk1"/>
              </a:solidFill>
              <a:effectLst/>
              <a:latin typeface="Consolas" panose="020B0609020204030204" pitchFamily="49" charset="0"/>
              <a:ea typeface="+mn-ea"/>
              <a:cs typeface="+mn-cs"/>
            </a:rPr>
            <a:t>dans chaque cellule selon le contenu: aligné à droite pour les nombres, dates et pourcentages, aligné à gauche pour les textes.</a:t>
          </a:r>
          <a:br>
            <a:rPr lang="en-US" sz="1400" b="0" i="0" u="none" strike="noStrike">
              <a:solidFill>
                <a:schemeClr val="dk1"/>
              </a:solidFill>
              <a:effectLst/>
              <a:latin typeface="Consolas" panose="020B0609020204030204" pitchFamily="49" charset="0"/>
              <a:ea typeface="+mn-ea"/>
              <a:cs typeface="+mn-cs"/>
            </a:rPr>
          </a:b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rgbClr val="C00000"/>
              </a:solidFill>
              <a:effectLst/>
              <a:latin typeface="Consolas" panose="020B0609020204030204" pitchFamily="49" charset="0"/>
              <a:ea typeface="+mn-ea"/>
              <a:cs typeface="+mn-cs"/>
            </a:rPr>
            <a:t>Attention aux formats date, heure et</a:t>
          </a:r>
          <a:r>
            <a:rPr lang="en-US" sz="1400" b="0" i="0" u="none" strike="noStrike" baseline="0">
              <a:solidFill>
                <a:srgbClr val="C00000"/>
              </a:solidFill>
              <a:effectLst/>
              <a:latin typeface="Consolas" panose="020B0609020204030204" pitchFamily="49" charset="0"/>
              <a:ea typeface="+mn-ea"/>
              <a:cs typeface="+mn-cs"/>
            </a:rPr>
            <a:t> pourcentage</a:t>
          </a:r>
          <a:r>
            <a:rPr lang="en-US" sz="1400" b="0" i="0" u="none" strike="noStrike" baseline="0">
              <a:solidFill>
                <a:schemeClr val="dk1"/>
              </a:solidFill>
              <a:effectLst/>
              <a:latin typeface="Consolas" panose="020B0609020204030204" pitchFamily="49" charset="0"/>
              <a:ea typeface="+mn-ea"/>
              <a:cs typeface="+mn-cs"/>
            </a:rPr>
            <a:t>.</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0</xdr:col>
      <xdr:colOff>180975</xdr:colOff>
      <xdr:row>10</xdr:row>
      <xdr:rowOff>133350</xdr:rowOff>
    </xdr:from>
    <xdr:to>
      <xdr:col>2</xdr:col>
      <xdr:colOff>533400</xdr:colOff>
      <xdr:row>33</xdr:row>
      <xdr:rowOff>28575</xdr:rowOff>
    </xdr:to>
    <xdr:sp macro="" textlink="">
      <xdr:nvSpPr>
        <xdr:cNvPr id="3" name="ZoneTexte 2">
          <a:extLst>
            <a:ext uri="{FF2B5EF4-FFF2-40B4-BE49-F238E27FC236}">
              <a16:creationId xmlns:a16="http://schemas.microsoft.com/office/drawing/2014/main" id="{71AE66C8-17CE-4605-ACBC-D4861664B740}"/>
            </a:ext>
          </a:extLst>
        </xdr:cNvPr>
        <xdr:cNvSpPr txBox="1"/>
      </xdr:nvSpPr>
      <xdr:spPr>
        <a:xfrm>
          <a:off x="180975" y="2705100"/>
          <a:ext cx="6457950" cy="449580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Ajouter des bordures </a:t>
          </a:r>
          <a:r>
            <a:rPr lang="fr-CH" sz="1400" b="0" i="0" u="none" strike="noStrike">
              <a:solidFill>
                <a:schemeClr val="dk1"/>
              </a:solidFill>
              <a:effectLst/>
              <a:latin typeface="Consolas" panose="020B0609020204030204" pitchFamily="49" charset="0"/>
              <a:ea typeface="+mn-ea"/>
              <a:cs typeface="+mn-cs"/>
            </a:rPr>
            <a:t>à une plage de cellules​ </a:t>
          </a:r>
          <a:r>
            <a:rPr lang="fr-CH" sz="1400" b="1" i="0" u="none" strike="noStrike">
              <a:solidFill>
                <a:schemeClr val="accent2">
                  <a:lumMod val="50000"/>
                </a:schemeClr>
              </a:solidFill>
              <a:effectLst/>
              <a:latin typeface="Consolas" panose="020B0609020204030204" pitchFamily="49" charset="0"/>
              <a:ea typeface="+mn-ea"/>
              <a:cs typeface="+mn-cs"/>
            </a:rPr>
            <a:t>Accueil</a:t>
          </a:r>
          <a:r>
            <a:rPr lang="fr-CH" sz="1400" b="1" i="0" u="none" strike="noStrike" baseline="0">
              <a:solidFill>
                <a:schemeClr val="accent2">
                  <a:lumMod val="50000"/>
                </a:schemeClr>
              </a:solidFill>
              <a:effectLst/>
              <a:latin typeface="Consolas" panose="020B0609020204030204" pitchFamily="49" charset="0"/>
              <a:ea typeface="+mn-ea"/>
              <a:cs typeface="+mn-cs"/>
            </a:rPr>
            <a:t> &gt; (Police) Bordures</a:t>
          </a:r>
          <a:r>
            <a:rPr lang="fr-CH" sz="1400" b="0" i="0" u="none" strike="noStrike" baseline="0">
              <a:solidFill>
                <a:schemeClr val="dk1"/>
              </a:solidFill>
              <a:effectLst/>
              <a:latin typeface="Consolas" panose="020B0609020204030204" pitchFamily="49" charset="0"/>
              <a:ea typeface="+mn-ea"/>
              <a:cs typeface="+mn-cs"/>
            </a:rPr>
            <a:t>.</a:t>
          </a:r>
          <a:br>
            <a:rPr lang="fr-CH" sz="1400" b="0" i="0" u="none" strike="noStrike">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Centrez les titres </a:t>
          </a:r>
          <a:r>
            <a:rPr lang="fr-CH" sz="1400" b="0" i="0" u="none" strike="noStrike">
              <a:solidFill>
                <a:schemeClr val="dk1"/>
              </a:solidFill>
              <a:effectLst/>
              <a:latin typeface="Consolas" panose="020B0609020204030204" pitchFamily="49" charset="0"/>
              <a:ea typeface="+mn-ea"/>
              <a:cs typeface="+mn-cs"/>
            </a:rPr>
            <a:t>à l’aide de l’option </a:t>
          </a:r>
          <a:r>
            <a:rPr lang="fr-CH" sz="1400" b="1" i="0" u="none" strike="noStrike">
              <a:solidFill>
                <a:schemeClr val="accent2">
                  <a:lumMod val="50000"/>
                </a:schemeClr>
              </a:solidFill>
              <a:effectLst/>
              <a:latin typeface="Consolas" panose="020B0609020204030204" pitchFamily="49" charset="0"/>
              <a:ea typeface="+mn-ea"/>
              <a:cs typeface="+mn-cs"/>
            </a:rPr>
            <a:t>Accueil &gt; (Alignement) &gt; Fusionner et centrer</a:t>
          </a:r>
          <a:r>
            <a:rPr lang="fr-CH" sz="1400" b="0" i="0" u="none" strike="noStrike">
              <a:solidFill>
                <a:schemeClr val="dk1"/>
              </a:solidFill>
              <a:effectLst/>
              <a:latin typeface="Consolas" panose="020B0609020204030204" pitchFamily="49" charset="0"/>
              <a:ea typeface="+mn-ea"/>
              <a:cs typeface="+mn-cs"/>
            </a:rPr>
            <a:t>. ​</a:t>
          </a:r>
          <a:br>
            <a:rPr lang="fr-CH" sz="1400" b="0" i="0" u="none" strike="noStrike">
              <a:solidFill>
                <a:schemeClr val="dk1"/>
              </a:solidFill>
              <a:effectLst/>
              <a:latin typeface="Consolas" panose="020B0609020204030204" pitchFamily="49" charset="0"/>
              <a:ea typeface="+mn-ea"/>
              <a:cs typeface="+mn-cs"/>
            </a:rPr>
          </a:br>
          <a:br>
            <a:rPr lang="fr-CH" sz="1400" b="0" i="0" u="none" strike="noStrike">
              <a:solidFill>
                <a:schemeClr val="dk1"/>
              </a:solidFill>
              <a:effectLst/>
              <a:latin typeface="Consolas" panose="020B0609020204030204" pitchFamily="49" charset="0"/>
              <a:ea typeface="+mn-ea"/>
              <a:cs typeface="+mn-cs"/>
            </a:rPr>
          </a:br>
          <a:r>
            <a:rPr lang="fr-CH" sz="1400" b="1" i="0" u="none" strike="noStrike">
              <a:solidFill>
                <a:schemeClr val="dk1"/>
              </a:solidFill>
              <a:effectLst/>
              <a:latin typeface="Consolas" panose="020B0609020204030204" pitchFamily="49" charset="0"/>
              <a:ea typeface="+mn-ea"/>
              <a:cs typeface="+mn-cs"/>
            </a:rPr>
            <a:t>Utilisez la reproduction de format </a:t>
          </a:r>
          <a:r>
            <a:rPr lang="fr-CH" sz="1400" b="0" i="0" u="none" strike="noStrike">
              <a:solidFill>
                <a:schemeClr val="dk1"/>
              </a:solidFill>
              <a:effectLst/>
              <a:latin typeface="Consolas" panose="020B0609020204030204" pitchFamily="49" charset="0"/>
              <a:ea typeface="+mn-ea"/>
              <a:cs typeface="+mn-cs"/>
            </a:rPr>
            <a:t>pour appliquer un certain style à différentes cellules (double-cliquez pour appliquer plus d’une fois)​.</a:t>
          </a:r>
        </a:p>
        <a:p>
          <a:pPr marL="0" marR="0" lvl="0" indent="0" defTabSz="914400" rtl="0" eaLnBrk="1" fontAlgn="auto" latinLnBrk="0" hangingPunct="1">
            <a:lnSpc>
              <a:spcPct val="100000"/>
            </a:lnSpc>
            <a:spcBef>
              <a:spcPts val="0"/>
            </a:spcBef>
            <a:spcAft>
              <a:spcPts val="0"/>
            </a:spcAft>
            <a:buClrTx/>
            <a:buSzTx/>
            <a:buFontTx/>
            <a:buNone/>
            <a:tabLst/>
            <a:defRPr/>
          </a:pPr>
          <a:br>
            <a:rPr lang="fr-CH" sz="1400" b="0" i="0" u="none" strike="noStrike">
              <a:solidFill>
                <a:schemeClr val="dk1"/>
              </a:solidFill>
              <a:effectLst/>
              <a:latin typeface="Consolas" panose="020B0609020204030204" pitchFamily="49" charset="0"/>
              <a:ea typeface="+mn-ea"/>
              <a:cs typeface="+mn-cs"/>
            </a:rPr>
          </a:br>
          <a:r>
            <a:rPr lang="fr-CH" sz="1400" b="0" i="0" u="none" strike="noStrike">
              <a:solidFill>
                <a:schemeClr val="dk1"/>
              </a:solidFill>
              <a:effectLst/>
              <a:latin typeface="Consolas" panose="020B0609020204030204" pitchFamily="49" charset="0"/>
              <a:ea typeface="+mn-ea"/>
              <a:cs typeface="+mn-cs"/>
            </a:rPr>
            <a:t>Utilisez les </a:t>
          </a:r>
          <a:r>
            <a:rPr lang="fr-CH" sz="1400" b="1" i="0" u="none" strike="noStrike">
              <a:solidFill>
                <a:schemeClr val="dk1"/>
              </a:solidFill>
              <a:effectLst/>
              <a:latin typeface="Consolas" panose="020B0609020204030204" pitchFamily="49" charset="0"/>
              <a:ea typeface="+mn-ea"/>
              <a:cs typeface="+mn-cs"/>
            </a:rPr>
            <a:t>styles automatiques des cellules </a:t>
          </a:r>
          <a:r>
            <a:rPr lang="fr-CH" sz="1400" b="0" i="0" u="none" strike="noStrike">
              <a:solidFill>
                <a:schemeClr val="dk1"/>
              </a:solidFill>
              <a:effectLst/>
              <a:latin typeface="Consolas" panose="020B0609020204030204" pitchFamily="49" charset="0"/>
              <a:ea typeface="+mn-ea"/>
              <a:cs typeface="+mn-cs"/>
            </a:rPr>
            <a:t>(</a:t>
          </a:r>
          <a:r>
            <a:rPr lang="fr-CH" sz="1400" b="1" i="0" u="none" strike="noStrike">
              <a:solidFill>
                <a:schemeClr val="accent2">
                  <a:lumMod val="50000"/>
                </a:schemeClr>
              </a:solidFill>
              <a:effectLst/>
              <a:latin typeface="Consolas" panose="020B0609020204030204" pitchFamily="49" charset="0"/>
              <a:ea typeface="+mn-ea"/>
              <a:cs typeface="+mn-cs"/>
            </a:rPr>
            <a:t>Accueil &gt; (Styles) Styles de cellule</a:t>
          </a:r>
          <a:r>
            <a:rPr lang="fr-CH"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Pour effacer un format</a:t>
          </a:r>
          <a:r>
            <a:rPr lang="fr-CH" sz="1400" b="0" i="0" u="none" strike="noStrike" baseline="0">
              <a:solidFill>
                <a:schemeClr val="dk1"/>
              </a:solidFill>
              <a:effectLst/>
              <a:latin typeface="Consolas" panose="020B0609020204030204" pitchFamily="49" charset="0"/>
              <a:ea typeface="+mn-ea"/>
              <a:cs typeface="+mn-cs"/>
            </a:rPr>
            <a:t> ou le contenu d'une cellule ou les deux, utilisez </a:t>
          </a:r>
          <a:r>
            <a:rPr lang="fr-CH" sz="1400" b="1" i="0" u="none" strike="noStrike" baseline="0">
              <a:solidFill>
                <a:schemeClr val="dk1"/>
              </a:solidFill>
              <a:effectLst/>
              <a:latin typeface="Consolas" panose="020B0609020204030204" pitchFamily="49" charset="0"/>
              <a:ea typeface="+mn-ea"/>
              <a:cs typeface="+mn-cs"/>
            </a:rPr>
            <a:t>l'outil gomme </a:t>
          </a:r>
          <a:r>
            <a:rPr lang="fr-CH" sz="1400" b="0" i="0" u="none" strike="noStrike" baseline="0">
              <a:solidFill>
                <a:schemeClr val="dk1"/>
              </a:solidFill>
              <a:effectLst/>
              <a:latin typeface="Consolas" panose="020B0609020204030204" pitchFamily="49" charset="0"/>
              <a:ea typeface="+mn-ea"/>
              <a:cs typeface="+mn-cs"/>
            </a:rPr>
            <a:t>dans </a:t>
          </a:r>
          <a:r>
            <a:rPr lang="fr-CH" sz="1400" b="1" i="0" u="none" strike="noStrike" baseline="0">
              <a:solidFill>
                <a:schemeClr val="accent2">
                  <a:lumMod val="50000"/>
                </a:schemeClr>
              </a:solidFill>
              <a:effectLst/>
              <a:latin typeface="Consolas" panose="020B0609020204030204" pitchFamily="49" charset="0"/>
              <a:ea typeface="+mn-ea"/>
              <a:cs typeface="+mn-cs"/>
            </a:rPr>
            <a:t>Accueil &gt; Edition &gt; Effacer</a:t>
          </a:r>
          <a:r>
            <a:rPr lang="fr-CH" sz="1400" b="0" i="0" u="none" strike="noStrike" baseline="0">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Utilisez </a:t>
          </a:r>
          <a:r>
            <a:rPr lang="en-US" sz="1400" b="1" i="0" u="none" strike="noStrike">
              <a:solidFill>
                <a:schemeClr val="accent2">
                  <a:lumMod val="50000"/>
                </a:schemeClr>
              </a:solidFill>
              <a:effectLst/>
              <a:latin typeface="Consolas" panose="020B0609020204030204" pitchFamily="49" charset="0"/>
              <a:ea typeface="+mn-ea"/>
              <a:cs typeface="+mn-cs"/>
            </a:rPr>
            <a:t>Mise en page &gt; (Thèmes)</a:t>
          </a:r>
          <a:r>
            <a:rPr lang="en-US" sz="1400" b="0" i="0" u="none" strike="noStrike">
              <a:solidFill>
                <a:schemeClr val="dk1"/>
              </a:solidFill>
              <a:effectLst/>
              <a:latin typeface="Consolas" panose="020B0609020204030204" pitchFamily="49" charset="0"/>
              <a:ea typeface="+mn-ea"/>
              <a:cs typeface="+mn-cs"/>
            </a:rPr>
            <a:t> pour modifier le thème, les couleurs</a:t>
          </a:r>
          <a:r>
            <a:rPr lang="en-US" sz="1400" b="0" i="0" u="none" strike="noStrike" baseline="0">
              <a:solidFill>
                <a:schemeClr val="dk1"/>
              </a:solidFill>
              <a:effectLst/>
              <a:latin typeface="Consolas" panose="020B0609020204030204" pitchFamily="49" charset="0"/>
              <a:ea typeface="+mn-ea"/>
              <a:cs typeface="+mn-cs"/>
            </a:rPr>
            <a:t> ou la police par défaut </a:t>
          </a:r>
          <a:r>
            <a:rPr lang="en-US" sz="1400" b="0" i="0" u="none" strike="noStrike">
              <a:solidFill>
                <a:schemeClr val="dk1"/>
              </a:solidFill>
              <a:effectLst/>
              <a:latin typeface="Consolas" panose="020B0609020204030204" pitchFamily="49" charset="0"/>
              <a:ea typeface="+mn-ea"/>
              <a:cs typeface="+mn-cs"/>
            </a:rPr>
            <a:t>du classeur.</a:t>
          </a:r>
        </a:p>
      </xdr:txBody>
    </xdr:sp>
    <xdr:clientData/>
  </xdr:twoCellAnchor>
  <xdr:oneCellAnchor>
    <xdr:from>
      <xdr:col>0</xdr:col>
      <xdr:colOff>1116170</xdr:colOff>
      <xdr:row>0</xdr:row>
      <xdr:rowOff>21723</xdr:rowOff>
    </xdr:from>
    <xdr:ext cx="6722097" cy="843757"/>
    <xdr:sp macro="" textlink="">
      <xdr:nvSpPr>
        <xdr:cNvPr id="6" name="Rectangle 5">
          <a:extLst>
            <a:ext uri="{FF2B5EF4-FFF2-40B4-BE49-F238E27FC236}">
              <a16:creationId xmlns:a16="http://schemas.microsoft.com/office/drawing/2014/main" id="{54A07270-4D15-42F2-BE9A-3ABC0A71E505}"/>
            </a:ext>
          </a:extLst>
        </xdr:cNvPr>
        <xdr:cNvSpPr/>
      </xdr:nvSpPr>
      <xdr:spPr>
        <a:xfrm>
          <a:off x="1116170" y="21723"/>
          <a:ext cx="6722097" cy="843757"/>
        </a:xfrm>
        <a:prstGeom prst="rect">
          <a:avLst/>
        </a:prstGeom>
        <a:noFill/>
      </xdr:spPr>
      <xdr:txBody>
        <a:bodyPr wrap="none" lIns="91440" tIns="45720" rIns="91440" bIns="45720">
          <a:spAutoFit/>
        </a:bodyPr>
        <a:lstStyle/>
        <a:p>
          <a:pPr algn="ct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Mise en forme</a:t>
          </a:r>
          <a:r>
            <a:rPr lang="fr-FR" sz="4800" b="0" i="1" cap="none" spc="0" baseline="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 des cellules</a:t>
          </a:r>
          <a:endPar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endParaRPr>
        </a:p>
      </xdr:txBody>
    </xdr:sp>
    <xdr:clientData/>
  </xdr:oneCellAnchor>
  <xdr:twoCellAnchor>
    <xdr:from>
      <xdr:col>7</xdr:col>
      <xdr:colOff>209550</xdr:colOff>
      <xdr:row>2</xdr:row>
      <xdr:rowOff>123825</xdr:rowOff>
    </xdr:from>
    <xdr:to>
      <xdr:col>13</xdr:col>
      <xdr:colOff>457200</xdr:colOff>
      <xdr:row>20</xdr:row>
      <xdr:rowOff>76200</xdr:rowOff>
    </xdr:to>
    <xdr:sp macro="" textlink="">
      <xdr:nvSpPr>
        <xdr:cNvPr id="7" name="Rectangle 6">
          <a:extLst>
            <a:ext uri="{FF2B5EF4-FFF2-40B4-BE49-F238E27FC236}">
              <a16:creationId xmlns:a16="http://schemas.microsoft.com/office/drawing/2014/main" id="{7A534AD1-4DF2-ACC0-18E0-16240BDE35F5}"/>
            </a:ext>
          </a:extLst>
        </xdr:cNvPr>
        <xdr:cNvSpPr/>
      </xdr:nvSpPr>
      <xdr:spPr>
        <a:xfrm>
          <a:off x="11401425" y="1152525"/>
          <a:ext cx="5886450" cy="359092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Consolas" panose="020B0609020204030204" pitchFamily="49" charset="0"/>
              <a:ea typeface="+mn-ea"/>
              <a:cs typeface="+mn-cs"/>
            </a:rPr>
            <a:t>Sélection automatique d’un bloc de cellules contiguës </a:t>
          </a:r>
          <a:r>
            <a:rPr kumimoji="0" lang="fr-CH" sz="1400" b="1"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sym typeface="Wingdings" panose="05000000000000000000" pitchFamily="2" charset="2"/>
            </a:rPr>
            <a:t> </a:t>
          </a:r>
          <a:r>
            <a:rPr lang="en-US" sz="1400" b="1" i="0" u="none" strike="noStrike">
              <a:solidFill>
                <a:schemeClr val="accent2">
                  <a:lumMod val="50000"/>
                </a:schemeClr>
              </a:solidFill>
              <a:effectLst/>
              <a:latin typeface="Consolas" panose="020B0609020204030204" pitchFamily="49" charset="0"/>
              <a:ea typeface="+mn-ea"/>
              <a:cs typeface="+mn-cs"/>
            </a:rPr>
            <a:t>Ctrl + A.​</a:t>
          </a:r>
        </a:p>
        <a:p>
          <a:pPr marL="0" marR="0" lvl="0" indent="0" algn="l"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en-US" sz="1400" b="1" i="0" u="none" strike="noStrike">
              <a:solidFill>
                <a:schemeClr val="dk1"/>
              </a:solidFill>
              <a:effectLst/>
              <a:latin typeface="Consolas" panose="020B0609020204030204" pitchFamily="49" charset="0"/>
              <a:ea typeface="+mn-ea"/>
              <a:cs typeface="+mn-cs"/>
            </a:rPr>
            <a:t>Sélection manuelle d’une plage de cellules</a:t>
          </a:r>
          <a:r>
            <a:rPr lang="en-US" sz="1400" b="0" i="0" u="none" strike="noStrike">
              <a:solidFill>
                <a:schemeClr val="dk1"/>
              </a:solidFill>
              <a:effectLst/>
              <a:latin typeface="Consolas" panose="020B0609020204030204" pitchFamily="49" charset="0"/>
              <a:ea typeface="+mn-ea"/>
              <a:cs typeface="+mn-cs"/>
            </a:rPr>
            <a:t>: </a:t>
          </a:r>
          <a:r>
            <a:rPr kumimoji="0" lang="fr-CH"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clic puis MAJ</a:t>
          </a:r>
          <a:r>
            <a:rPr kumimoji="0" lang="en-US"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rPr>
            <a:t> + clic.​</a:t>
          </a:r>
        </a:p>
        <a:p>
          <a:pPr marL="0" marR="0" lvl="0" indent="0" algn="l"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en-US" sz="1400" b="1" i="0" u="none" strike="noStrike">
              <a:solidFill>
                <a:schemeClr val="dk1"/>
              </a:solidFill>
              <a:effectLst/>
              <a:latin typeface="Consolas" panose="020B0609020204030204" pitchFamily="49" charset="0"/>
              <a:ea typeface="+mn-ea"/>
              <a:cs typeface="+mn-cs"/>
            </a:rPr>
            <a:t>Sélection de cellules disjointes</a:t>
          </a:r>
          <a:r>
            <a:rPr lang="en-US" sz="1400" b="0" i="0" u="none" strike="noStrike">
              <a:solidFill>
                <a:schemeClr val="dk1"/>
              </a:solidFill>
              <a:effectLst/>
              <a:latin typeface="Consolas" panose="020B0609020204030204" pitchFamily="49" charset="0"/>
              <a:ea typeface="+mn-ea"/>
              <a:cs typeface="+mn-cs"/>
            </a:rPr>
            <a:t>: </a:t>
          </a:r>
          <a:r>
            <a:rPr kumimoji="0" lang="fr-CH"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clic puis Ctrl</a:t>
          </a:r>
          <a:r>
            <a:rPr kumimoji="0" lang="en-US"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rPr>
            <a:t> + clic.​</a:t>
          </a:r>
        </a:p>
        <a:p>
          <a:pPr marL="0" marR="0" lvl="0" indent="0" algn="l"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en-US" sz="1400" b="1" i="0" u="none" strike="noStrike">
              <a:solidFill>
                <a:schemeClr val="dk1"/>
              </a:solidFill>
              <a:effectLst/>
              <a:latin typeface="Consolas" panose="020B0609020204030204" pitchFamily="49" charset="0"/>
              <a:ea typeface="+mn-ea"/>
              <a:cs typeface="+mn-cs"/>
            </a:rPr>
            <a:t>Sélection de toutes les lignes et colonnes d’une plage </a:t>
          </a:r>
          <a:r>
            <a:rPr lang="en-US" sz="1400" b="0" i="0" u="none" strike="noStrike">
              <a:solidFill>
                <a:schemeClr val="dk1"/>
              </a:solidFill>
              <a:effectLst/>
              <a:latin typeface="Consolas" panose="020B0609020204030204" pitchFamily="49" charset="0"/>
              <a:ea typeface="+mn-ea"/>
              <a:cs typeface="+mn-cs"/>
            </a:rPr>
            <a:t>: sélectionnez la cellule supérieure gauche de la plage puis appuyez simultanément sur </a:t>
          </a:r>
          <a:r>
            <a:rPr lang="en-US" sz="1400" b="1" i="0" u="none" strike="noStrike">
              <a:solidFill>
                <a:schemeClr val="accent2">
                  <a:lumMod val="50000"/>
                </a:schemeClr>
              </a:solidFill>
              <a:effectLst/>
              <a:latin typeface="Consolas" panose="020B0609020204030204" pitchFamily="49" charset="0"/>
              <a:ea typeface="+mn-ea"/>
              <a:cs typeface="+mn-cs"/>
            </a:rPr>
            <a:t>Maj + Ctrl + flèche vers le bas puis flèche vers la droite</a:t>
          </a:r>
          <a:r>
            <a:rPr lang="en-US" sz="1400" b="0" i="0" u="none" strike="noStrike">
              <a:solidFill>
                <a:schemeClr val="dk1"/>
              </a:solidFill>
              <a:effectLst/>
              <a:latin typeface="Consolas" panose="020B0609020204030204" pitchFamily="49" charset="0"/>
              <a:ea typeface="+mn-ea"/>
              <a:cs typeface="+mn-cs"/>
            </a:rPr>
            <a:t>. </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Si vous ne souhaitez pas sélectionner toutes les colonnes, relâchez la touche Ctrl et appuyez une fois sur la flèche droite pour chaque colonne que vous souhaitez ajouter à la sélection.</a:t>
          </a:r>
        </a:p>
      </xdr:txBody>
    </xdr:sp>
    <xdr:clientData/>
  </xdr:twoCellAnchor>
  <xdr:twoCellAnchor editAs="oneCell">
    <xdr:from>
      <xdr:col>16</xdr:col>
      <xdr:colOff>85725</xdr:colOff>
      <xdr:row>0</xdr:row>
      <xdr:rowOff>76200</xdr:rowOff>
    </xdr:from>
    <xdr:to>
      <xdr:col>17</xdr:col>
      <xdr:colOff>156208</xdr:colOff>
      <xdr:row>0</xdr:row>
      <xdr:rowOff>743360</xdr:rowOff>
    </xdr:to>
    <xdr:pic>
      <xdr:nvPicPr>
        <xdr:cNvPr id="9" name="Graphique 8">
          <a:extLst>
            <a:ext uri="{FF2B5EF4-FFF2-40B4-BE49-F238E27FC236}">
              <a16:creationId xmlns:a16="http://schemas.microsoft.com/office/drawing/2014/main" id="{ABBA1B15-CB38-46F1-AF1B-6663D6D61F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t="25097"/>
        <a:stretch>
          <a:fillRect/>
        </a:stretch>
      </xdr:blipFill>
      <xdr:spPr>
        <a:xfrm>
          <a:off x="16744950" y="76200"/>
          <a:ext cx="832483" cy="667160"/>
        </a:xfrm>
        <a:prstGeom prst="rect">
          <a:avLst/>
        </a:prstGeom>
      </xdr:spPr>
    </xdr:pic>
    <xdr:clientData/>
  </xdr:twoCellAnchor>
  <xdr:twoCellAnchor>
    <xdr:from>
      <xdr:col>7</xdr:col>
      <xdr:colOff>219075</xdr:colOff>
      <xdr:row>21</xdr:row>
      <xdr:rowOff>76200</xdr:rowOff>
    </xdr:from>
    <xdr:to>
      <xdr:col>13</xdr:col>
      <xdr:colOff>466725</xdr:colOff>
      <xdr:row>35</xdr:row>
      <xdr:rowOff>38099</xdr:rowOff>
    </xdr:to>
    <xdr:sp macro="" textlink="">
      <xdr:nvSpPr>
        <xdr:cNvPr id="11" name="Rectangle 10">
          <a:extLst>
            <a:ext uri="{FF2B5EF4-FFF2-40B4-BE49-F238E27FC236}">
              <a16:creationId xmlns:a16="http://schemas.microsoft.com/office/drawing/2014/main" id="{E948514D-3785-4B35-939F-B6656BF57B39}"/>
            </a:ext>
          </a:extLst>
        </xdr:cNvPr>
        <xdr:cNvSpPr/>
      </xdr:nvSpPr>
      <xdr:spPr>
        <a:xfrm>
          <a:off x="11410950" y="5010150"/>
          <a:ext cx="5886450" cy="276224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Centrer un titre dans une table:</a:t>
          </a: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1/ Sélectionnez les cellules à centrer puis utilisez</a:t>
          </a:r>
          <a:r>
            <a:rPr lang="fr-CH" sz="1400" b="0" i="0" u="none" strike="noStrike" baseline="0">
              <a:solidFill>
                <a:schemeClr val="dk1"/>
              </a:solidFill>
              <a:effectLst/>
              <a:latin typeface="Consolas" panose="020B0609020204030204" pitchFamily="49" charset="0"/>
              <a:ea typeface="+mn-ea"/>
              <a:cs typeface="+mn-cs"/>
            </a:rPr>
            <a:t> </a:t>
          </a:r>
          <a:r>
            <a:rPr lang="fr-CH" sz="1400" b="1" i="0" u="none" strike="noStrike" baseline="0">
              <a:solidFill>
                <a:schemeClr val="accent2">
                  <a:lumMod val="50000"/>
                </a:schemeClr>
              </a:solidFill>
              <a:effectLst/>
              <a:latin typeface="Consolas" panose="020B0609020204030204" pitchFamily="49" charset="0"/>
              <a:ea typeface="+mn-ea"/>
              <a:cs typeface="+mn-cs"/>
            </a:rPr>
            <a:t>Acceuil &gt; Fusionner et centrer</a:t>
          </a:r>
          <a:r>
            <a:rPr lang="fr-CH" sz="1400" b="1" i="0" u="none" strike="noStrike" baseline="0">
              <a:solidFill>
                <a:schemeClr val="dk1"/>
              </a:solidFill>
              <a:effectLst/>
              <a:latin typeface="Consolas" panose="020B0609020204030204" pitchFamily="49" charset="0"/>
              <a:ea typeface="+mn-ea"/>
              <a:cs typeface="+mn-cs"/>
            </a:rPr>
            <a:t>. Recommandé pour les titres en haut de vos données</a:t>
          </a:r>
          <a:endParaRPr lang="fr-CH" sz="1400" b="1"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1"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2/ </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Sélectionnez les cellules à centrer puis </a:t>
          </a:r>
          <a:r>
            <a:rPr lang="fr-CH" sz="1400" b="0" i="0" u="none" strike="noStrike">
              <a:solidFill>
                <a:schemeClr val="dk1"/>
              </a:solidFill>
              <a:effectLst/>
              <a:latin typeface="Consolas" panose="020B0609020204030204" pitchFamily="49" charset="0"/>
              <a:ea typeface="+mn-ea"/>
              <a:cs typeface="+mn-cs"/>
            </a:rPr>
            <a:t>clic</a:t>
          </a:r>
          <a:r>
            <a:rPr lang="fr-CH" sz="1400" b="0" i="0" u="none" strike="noStrike" baseline="0">
              <a:solidFill>
                <a:schemeClr val="dk1"/>
              </a:solidFill>
              <a:effectLst/>
              <a:latin typeface="Consolas" panose="020B0609020204030204" pitchFamily="49" charset="0"/>
              <a:ea typeface="+mn-ea"/>
              <a:cs typeface="+mn-cs"/>
            </a:rPr>
            <a:t> sur l'icône flèche en bas à droite du groupe </a:t>
          </a:r>
          <a:r>
            <a:rPr lang="fr-CH" sz="1400" b="1" i="0" u="none" strike="noStrike" baseline="0">
              <a:solidFill>
                <a:schemeClr val="accent2">
                  <a:lumMod val="50000"/>
                </a:schemeClr>
              </a:solidFill>
              <a:effectLst/>
              <a:latin typeface="Consolas" panose="020B0609020204030204" pitchFamily="49" charset="0"/>
              <a:ea typeface="+mn-ea"/>
              <a:cs typeface="+mn-cs"/>
            </a:rPr>
            <a:t>Accueil &gt; Alignement &gt; Horizontal &gt; Centré</a:t>
          </a:r>
          <a:r>
            <a:rPr lang="en-US" sz="1400" b="1" i="0" u="none" strike="noStrike" baseline="0">
              <a:solidFill>
                <a:schemeClr val="accent2">
                  <a:lumMod val="50000"/>
                </a:schemeClr>
              </a:solidFill>
              <a:effectLst/>
              <a:latin typeface="Consolas" panose="020B0609020204030204" pitchFamily="49" charset="0"/>
              <a:ea typeface="+mn-ea"/>
              <a:cs typeface="+mn-cs"/>
            </a:rPr>
            <a:t> sur plusieurs colonnes </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(ou </a:t>
          </a:r>
          <a:r>
            <a:rPr kumimoji="0" lang="fr-CH" sz="1400" b="0"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rPr>
            <a:t>CTRL + 1</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a:t>
          </a:r>
          <a:endParaRPr lang="en-US"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u="none" strike="noStrike" baseline="0">
              <a:solidFill>
                <a:schemeClr val="dk1"/>
              </a:solidFill>
              <a:effectLst/>
              <a:latin typeface="Consolas" panose="020B0609020204030204" pitchFamily="49" charset="0"/>
              <a:ea typeface="+mn-ea"/>
              <a:cs typeface="+mn-cs"/>
            </a:rPr>
            <a:t>Recommandé pour tout titre à l'intérieur des données </a:t>
          </a:r>
          <a:r>
            <a:rPr lang="en-US" sz="1400" b="0" i="0" u="none" strike="noStrike" baseline="0">
              <a:solidFill>
                <a:schemeClr val="dk1"/>
              </a:solidFill>
              <a:effectLst/>
              <a:latin typeface="Consolas" panose="020B0609020204030204" pitchFamily="49" charset="0"/>
              <a:ea typeface="+mn-ea"/>
              <a:cs typeface="+mn-cs"/>
            </a:rPr>
            <a:t>car ne perturbe pas la sélection en colonnes avant et après.</a:t>
          </a:r>
          <a:endParaRPr lang="fr-CH" sz="1400" b="0" i="0" u="none" strike="noStrike" baseline="0">
            <a:solidFill>
              <a:schemeClr val="dk1"/>
            </a:solidFill>
            <a:effectLst/>
            <a:latin typeface="Consolas" panose="020B0609020204030204" pitchFamily="49" charset="0"/>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0</xdr:col>
      <xdr:colOff>1106833</xdr:colOff>
      <xdr:row>0</xdr:row>
      <xdr:rowOff>88398</xdr:rowOff>
    </xdr:from>
    <xdr:ext cx="5140573" cy="843757"/>
    <xdr:sp macro="" textlink="">
      <xdr:nvSpPr>
        <xdr:cNvPr id="4" name="Rectangle 3">
          <a:extLst>
            <a:ext uri="{FF2B5EF4-FFF2-40B4-BE49-F238E27FC236}">
              <a16:creationId xmlns:a16="http://schemas.microsoft.com/office/drawing/2014/main" id="{21885813-B318-47C3-B0BF-7DEA776AE99D}"/>
            </a:ext>
          </a:extLst>
        </xdr:cNvPr>
        <xdr:cNvSpPr/>
      </xdr:nvSpPr>
      <xdr:spPr>
        <a:xfrm>
          <a:off x="1106833" y="88398"/>
          <a:ext cx="5140573" cy="843757"/>
        </a:xfrm>
        <a:prstGeom prst="rect">
          <a:avLst/>
        </a:prstGeom>
        <a:noFill/>
      </xdr:spPr>
      <xdr:txBody>
        <a:bodyPr wrap="none" lIns="91440" tIns="45720" rIns="91440" bIns="45720">
          <a:spAutoFit/>
        </a:bodyPr>
        <a:lstStyle/>
        <a:p>
          <a:pPr algn="ct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Sélection </a:t>
          </a:r>
          <a:r>
            <a:rPr lang="fr-FR" sz="4800" b="0" i="1" cap="none" spc="0" baseline="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de cellules</a:t>
          </a:r>
          <a:endPar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endParaRPr>
        </a:p>
      </xdr:txBody>
    </xdr:sp>
    <xdr:clientData/>
  </xdr:oneCellAnchor>
  <xdr:twoCellAnchor>
    <xdr:from>
      <xdr:col>0</xdr:col>
      <xdr:colOff>152400</xdr:colOff>
      <xdr:row>2</xdr:row>
      <xdr:rowOff>47625</xdr:rowOff>
    </xdr:from>
    <xdr:to>
      <xdr:col>1</xdr:col>
      <xdr:colOff>695325</xdr:colOff>
      <xdr:row>20</xdr:row>
      <xdr:rowOff>28575</xdr:rowOff>
    </xdr:to>
    <xdr:sp macro="" textlink="">
      <xdr:nvSpPr>
        <xdr:cNvPr id="5" name="Rectangle 4">
          <a:extLst>
            <a:ext uri="{FF2B5EF4-FFF2-40B4-BE49-F238E27FC236}">
              <a16:creationId xmlns:a16="http://schemas.microsoft.com/office/drawing/2014/main" id="{E4D9DA5E-22A4-4A99-8E54-47E529523F04}"/>
            </a:ext>
          </a:extLst>
        </xdr:cNvPr>
        <xdr:cNvSpPr/>
      </xdr:nvSpPr>
      <xdr:spPr>
        <a:xfrm>
          <a:off x="152400" y="1076325"/>
          <a:ext cx="5886450" cy="36861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Consolas" panose="020B0609020204030204" pitchFamily="49" charset="0"/>
              <a:ea typeface="+mn-ea"/>
              <a:cs typeface="+mn-cs"/>
            </a:rPr>
            <a:t>Sélection automatique d’un bloc de cellules contiguës </a:t>
          </a:r>
          <a:r>
            <a:rPr kumimoji="0" lang="fr-CH" sz="1400" b="1"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sym typeface="Wingdings" panose="05000000000000000000" pitchFamily="2" charset="2"/>
            </a:rPr>
            <a:t> </a:t>
          </a:r>
          <a:r>
            <a:rPr lang="en-US" sz="1400" b="1" i="0" u="none" strike="noStrike">
              <a:solidFill>
                <a:schemeClr val="accent2">
                  <a:lumMod val="50000"/>
                </a:schemeClr>
              </a:solidFill>
              <a:effectLst/>
              <a:latin typeface="Consolas" panose="020B0609020204030204" pitchFamily="49" charset="0"/>
              <a:ea typeface="+mn-ea"/>
              <a:cs typeface="+mn-cs"/>
            </a:rPr>
            <a:t>Ctrl + A.​</a:t>
          </a:r>
        </a:p>
        <a:p>
          <a:pPr marL="0" marR="0" lvl="0" indent="0" algn="l"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en-US" sz="1400" b="1" i="0" u="none" strike="noStrike">
              <a:solidFill>
                <a:schemeClr val="dk1"/>
              </a:solidFill>
              <a:effectLst/>
              <a:latin typeface="Consolas" panose="020B0609020204030204" pitchFamily="49" charset="0"/>
              <a:ea typeface="+mn-ea"/>
              <a:cs typeface="+mn-cs"/>
            </a:rPr>
            <a:t>Sélection manuelle d’une plage de cellules</a:t>
          </a:r>
          <a:r>
            <a:rPr lang="en-US" sz="1400" b="0" i="0" u="none" strike="noStrike">
              <a:solidFill>
                <a:schemeClr val="dk1"/>
              </a:solidFill>
              <a:effectLst/>
              <a:latin typeface="Consolas" panose="020B0609020204030204" pitchFamily="49" charset="0"/>
              <a:ea typeface="+mn-ea"/>
              <a:cs typeface="+mn-cs"/>
            </a:rPr>
            <a:t>: </a:t>
          </a:r>
          <a:r>
            <a:rPr kumimoji="0" lang="fr-CH"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clic puis MAJ</a:t>
          </a:r>
          <a:r>
            <a:rPr kumimoji="0" lang="en-US"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rPr>
            <a:t> + clic.​</a:t>
          </a:r>
        </a:p>
        <a:p>
          <a:pPr marL="0" marR="0" lvl="0" indent="0" algn="l"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en-US" sz="1400" b="1" i="0" u="none" strike="noStrike">
              <a:solidFill>
                <a:schemeClr val="dk1"/>
              </a:solidFill>
              <a:effectLst/>
              <a:latin typeface="Consolas" panose="020B0609020204030204" pitchFamily="49" charset="0"/>
              <a:ea typeface="+mn-ea"/>
              <a:cs typeface="+mn-cs"/>
            </a:rPr>
            <a:t>Sélection de cellules disjointes</a:t>
          </a:r>
          <a:r>
            <a:rPr lang="en-US" sz="1400" b="0" i="0" u="none" strike="noStrike">
              <a:solidFill>
                <a:schemeClr val="dk1"/>
              </a:solidFill>
              <a:effectLst/>
              <a:latin typeface="Consolas" panose="020B0609020204030204" pitchFamily="49" charset="0"/>
              <a:ea typeface="+mn-ea"/>
              <a:cs typeface="+mn-cs"/>
            </a:rPr>
            <a:t>: </a:t>
          </a:r>
          <a:r>
            <a:rPr kumimoji="0" lang="fr-CH"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clic puis Ctrl</a:t>
          </a:r>
          <a:r>
            <a:rPr kumimoji="0" lang="en-US" sz="1400" b="1"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rPr>
            <a:t> + clic.​</a:t>
          </a:r>
        </a:p>
        <a:p>
          <a:pPr marL="0" marR="0" lvl="0" indent="0" algn="l" defTabSz="914400" rtl="0" eaLnBrk="1" fontAlgn="auto" latinLnBrk="0" hangingPunct="1">
            <a:lnSpc>
              <a:spcPct val="100000"/>
            </a:lnSpc>
            <a:spcBef>
              <a:spcPts val="0"/>
            </a:spcBef>
            <a:spcAft>
              <a:spcPts val="0"/>
            </a:spcAft>
            <a:buClrTx/>
            <a:buSzTx/>
            <a:buFontTx/>
            <a:buNone/>
            <a:tabLst/>
            <a:defRPr/>
          </a:pPr>
          <a:br>
            <a:rPr lang="en-US" sz="1400" b="0" i="0" u="none" strike="noStrike">
              <a:solidFill>
                <a:schemeClr val="dk1"/>
              </a:solidFill>
              <a:effectLst/>
              <a:latin typeface="Consolas" panose="020B0609020204030204" pitchFamily="49" charset="0"/>
              <a:ea typeface="+mn-ea"/>
              <a:cs typeface="+mn-cs"/>
            </a:rPr>
          </a:br>
          <a:r>
            <a:rPr lang="en-US" sz="1400" b="1" i="0" u="none" strike="noStrike">
              <a:solidFill>
                <a:schemeClr val="dk1"/>
              </a:solidFill>
              <a:effectLst/>
              <a:latin typeface="Consolas" panose="020B0609020204030204" pitchFamily="49" charset="0"/>
              <a:ea typeface="+mn-ea"/>
              <a:cs typeface="+mn-cs"/>
            </a:rPr>
            <a:t>Sélection de toutes les lignes et colonnes d’une plage </a:t>
          </a:r>
          <a:r>
            <a:rPr lang="en-US" sz="1400" b="0" i="0" u="none" strike="noStrike">
              <a:solidFill>
                <a:schemeClr val="dk1"/>
              </a:solidFill>
              <a:effectLst/>
              <a:latin typeface="Consolas" panose="020B0609020204030204" pitchFamily="49" charset="0"/>
              <a:ea typeface="+mn-ea"/>
              <a:cs typeface="+mn-cs"/>
            </a:rPr>
            <a:t>: sélectionnez la cellule supérieure gauche de la plage puis appuyez simultanément sur </a:t>
          </a:r>
          <a:r>
            <a:rPr lang="en-US" sz="1400" b="1" i="0" u="none" strike="noStrike">
              <a:solidFill>
                <a:schemeClr val="accent2">
                  <a:lumMod val="50000"/>
                </a:schemeClr>
              </a:solidFill>
              <a:effectLst/>
              <a:latin typeface="Consolas" panose="020B0609020204030204" pitchFamily="49" charset="0"/>
              <a:ea typeface="+mn-ea"/>
              <a:cs typeface="+mn-cs"/>
            </a:rPr>
            <a:t>Maj + Ctrl + flèche vers le bas puis flèche vers la droite</a:t>
          </a:r>
          <a:r>
            <a:rPr lang="en-US" sz="1400" b="0" i="0" u="none" strike="noStrike">
              <a:solidFill>
                <a:schemeClr val="dk1"/>
              </a:solidFill>
              <a:effectLst/>
              <a:latin typeface="Consolas" panose="020B0609020204030204" pitchFamily="49" charset="0"/>
              <a:ea typeface="+mn-ea"/>
              <a:cs typeface="+mn-cs"/>
            </a:rPr>
            <a:t>. </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Si vous ne souhaitez pas sélectionner toutes les colonnes, relâchez la touche Ctrl et appuyez une fois sur la flèche droite pour chaque colonne que vous souhaitez ajouter à la sélection.</a:t>
          </a:r>
        </a:p>
      </xdr:txBody>
    </xdr:sp>
    <xdr:clientData/>
  </xdr:twoCellAnchor>
  <xdr:twoCellAnchor editAs="oneCell">
    <xdr:from>
      <xdr:col>16</xdr:col>
      <xdr:colOff>85725</xdr:colOff>
      <xdr:row>0</xdr:row>
      <xdr:rowOff>76200</xdr:rowOff>
    </xdr:from>
    <xdr:to>
      <xdr:col>17</xdr:col>
      <xdr:colOff>156208</xdr:colOff>
      <xdr:row>0</xdr:row>
      <xdr:rowOff>743360</xdr:rowOff>
    </xdr:to>
    <xdr:pic>
      <xdr:nvPicPr>
        <xdr:cNvPr id="6" name="Graphique 5">
          <a:extLst>
            <a:ext uri="{FF2B5EF4-FFF2-40B4-BE49-F238E27FC236}">
              <a16:creationId xmlns:a16="http://schemas.microsoft.com/office/drawing/2014/main" id="{713DA6F0-BB9B-435E-A42A-2AD6736B42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t="25097"/>
        <a:stretch>
          <a:fillRect/>
        </a:stretch>
      </xdr:blipFill>
      <xdr:spPr>
        <a:xfrm>
          <a:off x="19202400" y="76200"/>
          <a:ext cx="832483" cy="667160"/>
        </a:xfrm>
        <a:prstGeom prst="rect">
          <a:avLst/>
        </a:prstGeom>
      </xdr:spPr>
    </xdr:pic>
    <xdr:clientData/>
  </xdr:twoCellAnchor>
  <xdr:twoCellAnchor editAs="oneCell">
    <xdr:from>
      <xdr:col>13</xdr:col>
      <xdr:colOff>0</xdr:colOff>
      <xdr:row>0</xdr:row>
      <xdr:rowOff>0</xdr:rowOff>
    </xdr:from>
    <xdr:to>
      <xdr:col>14</xdr:col>
      <xdr:colOff>70483</xdr:colOff>
      <xdr:row>0</xdr:row>
      <xdr:rowOff>667160</xdr:rowOff>
    </xdr:to>
    <xdr:pic>
      <xdr:nvPicPr>
        <xdr:cNvPr id="7" name="Graphique 6">
          <a:extLst>
            <a:ext uri="{FF2B5EF4-FFF2-40B4-BE49-F238E27FC236}">
              <a16:creationId xmlns:a16="http://schemas.microsoft.com/office/drawing/2014/main" id="{D609791D-E2C4-42BD-910F-C73D334B99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t="25097"/>
        <a:stretch>
          <a:fillRect/>
        </a:stretch>
      </xdr:blipFill>
      <xdr:spPr>
        <a:xfrm>
          <a:off x="16830675" y="0"/>
          <a:ext cx="832483" cy="667160"/>
        </a:xfrm>
        <a:prstGeom prst="rect">
          <a:avLst/>
        </a:prstGeom>
      </xdr:spPr>
    </xdr:pic>
    <xdr:clientData/>
  </xdr:twoCellAnchor>
  <xdr:twoCellAnchor>
    <xdr:from>
      <xdr:col>7</xdr:col>
      <xdr:colOff>152400</xdr:colOff>
      <xdr:row>2</xdr:row>
      <xdr:rowOff>142874</xdr:rowOff>
    </xdr:from>
    <xdr:to>
      <xdr:col>12</xdr:col>
      <xdr:colOff>2228850</xdr:colOff>
      <xdr:row>24</xdr:row>
      <xdr:rowOff>119186</xdr:rowOff>
    </xdr:to>
    <xdr:sp macro="" textlink="">
      <xdr:nvSpPr>
        <xdr:cNvPr id="9" name="Rectangle 8">
          <a:extLst>
            <a:ext uri="{FF2B5EF4-FFF2-40B4-BE49-F238E27FC236}">
              <a16:creationId xmlns:a16="http://schemas.microsoft.com/office/drawing/2014/main" id="{D427124E-C705-4289-8BD7-09F7CB2A10AA}"/>
            </a:ext>
          </a:extLst>
        </xdr:cNvPr>
        <xdr:cNvSpPr/>
      </xdr:nvSpPr>
      <xdr:spPr>
        <a:xfrm>
          <a:off x="11344275" y="1171574"/>
          <a:ext cx="5886450" cy="4481637"/>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Déplacement d'un bloc de cellules avec la souris</a:t>
          </a: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Sélectionnez un bloc de cellules.</a:t>
          </a:r>
          <a:r>
            <a:rPr lang="fr-CH" sz="1400" b="0" i="0" u="none" strike="noStrike" baseline="0">
              <a:solidFill>
                <a:schemeClr val="dk1"/>
              </a:solidFill>
              <a:effectLst/>
              <a:latin typeface="Consolas" panose="020B0609020204030204" pitchFamily="49" charset="0"/>
              <a:ea typeface="+mn-ea"/>
              <a:cs typeface="+mn-cs"/>
            </a:rPr>
            <a:t> Placez le curseur de la souris sur un des bords de la sélection jusqu'à ce qu'il se transforme en curseur de déplacement. Faites un clic gauche et déplacer le bloc vers la cellule choisie. Attention, cette opération écrase les données existantes par celles déplacées.</a:t>
          </a:r>
          <a:endParaRPr lang="fr-CH" sz="1400" b="0"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1"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Insertion d'un bloc de cellules avec la souris</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Même</a:t>
          </a:r>
          <a:r>
            <a:rPr lang="en-US" sz="1400" b="0" i="0" u="none" strike="noStrike" baseline="0">
              <a:solidFill>
                <a:schemeClr val="dk1"/>
              </a:solidFill>
              <a:effectLst/>
              <a:latin typeface="Consolas" panose="020B0609020204030204" pitchFamily="49" charset="0"/>
              <a:ea typeface="+mn-ea"/>
              <a:cs typeface="+mn-cs"/>
            </a:rPr>
            <a:t> opération que ci-dessus mais en maintenant MAJ enfoncée pendant le déplacement du bloc. Le bloc de cellules est alors inséré à l'endroit sélectionné.</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Copie d'un bloc de cellules avec la souris</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Même opération qu'avant mais en maintenant CTRL pendant</a:t>
          </a:r>
          <a:r>
            <a:rPr lang="en-US" sz="1400" b="0" i="0" u="none" strike="noStrike" baseline="0">
              <a:solidFill>
                <a:schemeClr val="dk1"/>
              </a:solidFill>
              <a:effectLst/>
              <a:latin typeface="Consolas" panose="020B0609020204030204" pitchFamily="49" charset="0"/>
              <a:ea typeface="+mn-ea"/>
              <a:cs typeface="+mn-cs"/>
            </a:rPr>
            <a:t> le déplacement</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editAs="oneCell">
    <xdr:from>
      <xdr:col>12</xdr:col>
      <xdr:colOff>1676400</xdr:colOff>
      <xdr:row>9</xdr:row>
      <xdr:rowOff>19050</xdr:rowOff>
    </xdr:from>
    <xdr:to>
      <xdr:col>12</xdr:col>
      <xdr:colOff>1971675</xdr:colOff>
      <xdr:row>10</xdr:row>
      <xdr:rowOff>114300</xdr:rowOff>
    </xdr:to>
    <xdr:pic>
      <xdr:nvPicPr>
        <xdr:cNvPr id="10" name="Image 9">
          <a:extLst>
            <a:ext uri="{FF2B5EF4-FFF2-40B4-BE49-F238E27FC236}">
              <a16:creationId xmlns:a16="http://schemas.microsoft.com/office/drawing/2014/main" id="{C9866B25-F7D8-199E-DFA2-281B3B363A8E}"/>
            </a:ext>
          </a:extLst>
        </xdr:cNvPr>
        <xdr:cNvPicPr>
          <a:picLocks noChangeAspect="1"/>
        </xdr:cNvPicPr>
      </xdr:nvPicPr>
      <xdr:blipFill>
        <a:blip xmlns:r="http://schemas.openxmlformats.org/officeDocument/2006/relationships" r:embed="rId3"/>
        <a:stretch>
          <a:fillRect/>
        </a:stretch>
      </xdr:blipFill>
      <xdr:spPr>
        <a:xfrm>
          <a:off x="16678275" y="2552700"/>
          <a:ext cx="295275" cy="295275"/>
        </a:xfrm>
        <a:prstGeom prst="rect">
          <a:avLst/>
        </a:prstGeom>
      </xdr:spPr>
    </xdr:pic>
    <xdr:clientData/>
  </xdr:twoCellAnchor>
  <xdr:twoCellAnchor>
    <xdr:from>
      <xdr:col>11</xdr:col>
      <xdr:colOff>523875</xdr:colOff>
      <xdr:row>15</xdr:row>
      <xdr:rowOff>76201</xdr:rowOff>
    </xdr:from>
    <xdr:to>
      <xdr:col>12</xdr:col>
      <xdr:colOff>1990725</xdr:colOff>
      <xdr:row>16</xdr:row>
      <xdr:rowOff>190501</xdr:rowOff>
    </xdr:to>
    <xdr:grpSp>
      <xdr:nvGrpSpPr>
        <xdr:cNvPr id="16" name="Groupe 15">
          <a:extLst>
            <a:ext uri="{FF2B5EF4-FFF2-40B4-BE49-F238E27FC236}">
              <a16:creationId xmlns:a16="http://schemas.microsoft.com/office/drawing/2014/main" id="{423F037D-74B4-FD68-2B4A-99103E95FA69}"/>
            </a:ext>
          </a:extLst>
        </xdr:cNvPr>
        <xdr:cNvGrpSpPr/>
      </xdr:nvGrpSpPr>
      <xdr:grpSpPr>
        <a:xfrm>
          <a:off x="14763750" y="3810001"/>
          <a:ext cx="2228850" cy="314325"/>
          <a:chOff x="2381250" y="5810251"/>
          <a:chExt cx="2228850" cy="314325"/>
        </a:xfrm>
      </xdr:grpSpPr>
      <xdr:cxnSp macro="">
        <xdr:nvCxnSpPr>
          <xdr:cNvPr id="12" name="Connecteur droit 11">
            <a:extLst>
              <a:ext uri="{FF2B5EF4-FFF2-40B4-BE49-F238E27FC236}">
                <a16:creationId xmlns:a16="http://schemas.microsoft.com/office/drawing/2014/main" id="{6DF4FB06-D443-B2BD-5F10-8B36F7EA7253}"/>
              </a:ext>
            </a:extLst>
          </xdr:cNvPr>
          <xdr:cNvCxnSpPr/>
        </xdr:nvCxnSpPr>
        <xdr:spPr>
          <a:xfrm>
            <a:off x="2381250" y="5967414"/>
            <a:ext cx="2228850" cy="0"/>
          </a:xfrm>
          <a:prstGeom prst="line">
            <a:avLst/>
          </a:prstGeom>
          <a:ln w="38100"/>
        </xdr:spPr>
        <xdr:style>
          <a:lnRef idx="1">
            <a:schemeClr val="accent6"/>
          </a:lnRef>
          <a:fillRef idx="0">
            <a:schemeClr val="accent6"/>
          </a:fillRef>
          <a:effectRef idx="0">
            <a:schemeClr val="accent6"/>
          </a:effectRef>
          <a:fontRef idx="minor">
            <a:schemeClr val="tx1"/>
          </a:fontRef>
        </xdr:style>
      </xdr:cxnSp>
      <xdr:cxnSp macro="">
        <xdr:nvCxnSpPr>
          <xdr:cNvPr id="13" name="Connecteur droit 12">
            <a:extLst>
              <a:ext uri="{FF2B5EF4-FFF2-40B4-BE49-F238E27FC236}">
                <a16:creationId xmlns:a16="http://schemas.microsoft.com/office/drawing/2014/main" id="{A1D0722F-2489-4A12-AE1B-A3D9763D4BB8}"/>
              </a:ext>
            </a:extLst>
          </xdr:cNvPr>
          <xdr:cNvCxnSpPr/>
        </xdr:nvCxnSpPr>
        <xdr:spPr>
          <a:xfrm rot="5400000">
            <a:off x="2224088" y="5967414"/>
            <a:ext cx="314325" cy="0"/>
          </a:xfrm>
          <a:prstGeom prst="line">
            <a:avLst/>
          </a:prstGeom>
          <a:ln w="38100"/>
        </xdr:spPr>
        <xdr:style>
          <a:lnRef idx="1">
            <a:schemeClr val="accent6"/>
          </a:lnRef>
          <a:fillRef idx="0">
            <a:schemeClr val="accent6"/>
          </a:fillRef>
          <a:effectRef idx="0">
            <a:schemeClr val="accent6"/>
          </a:effectRef>
          <a:fontRef idx="minor">
            <a:schemeClr val="tx1"/>
          </a:fontRef>
        </xdr:style>
      </xdr:cxnSp>
      <xdr:cxnSp macro="">
        <xdr:nvCxnSpPr>
          <xdr:cNvPr id="15" name="Connecteur droit 14">
            <a:extLst>
              <a:ext uri="{FF2B5EF4-FFF2-40B4-BE49-F238E27FC236}">
                <a16:creationId xmlns:a16="http://schemas.microsoft.com/office/drawing/2014/main" id="{F4DFE57A-AD57-4AD6-AF24-82F822358FBC}"/>
              </a:ext>
            </a:extLst>
          </xdr:cNvPr>
          <xdr:cNvCxnSpPr/>
        </xdr:nvCxnSpPr>
        <xdr:spPr>
          <a:xfrm rot="5400000">
            <a:off x="4452937" y="5967414"/>
            <a:ext cx="314325" cy="0"/>
          </a:xfrm>
          <a:prstGeom prst="line">
            <a:avLst/>
          </a:prstGeom>
          <a:ln w="38100"/>
        </xdr:spPr>
        <xdr:style>
          <a:lnRef idx="1">
            <a:schemeClr val="accent6"/>
          </a:lnRef>
          <a:fillRef idx="0">
            <a:schemeClr val="accent6"/>
          </a:fillRef>
          <a:effectRef idx="0">
            <a:schemeClr val="accent6"/>
          </a:effectRef>
          <a:fontRef idx="minor">
            <a:schemeClr val="tx1"/>
          </a:fontRef>
        </xdr:style>
      </xdr:cxnSp>
    </xdr:grpSp>
    <xdr:clientData/>
  </xdr:twoCellAnchor>
  <xdr:twoCellAnchor editAs="oneCell">
    <xdr:from>
      <xdr:col>12</xdr:col>
      <xdr:colOff>1734231</xdr:colOff>
      <xdr:row>20</xdr:row>
      <xdr:rowOff>76201</xdr:rowOff>
    </xdr:from>
    <xdr:to>
      <xdr:col>12</xdr:col>
      <xdr:colOff>2019300</xdr:colOff>
      <xdr:row>21</xdr:row>
      <xdr:rowOff>161245</xdr:rowOff>
    </xdr:to>
    <xdr:pic>
      <xdr:nvPicPr>
        <xdr:cNvPr id="17" name="Image 16">
          <a:extLst>
            <a:ext uri="{FF2B5EF4-FFF2-40B4-BE49-F238E27FC236}">
              <a16:creationId xmlns:a16="http://schemas.microsoft.com/office/drawing/2014/main" id="{7D2C9F16-82FB-A771-B007-D0A4C9D1E188}"/>
            </a:ext>
          </a:extLst>
        </xdr:cNvPr>
        <xdr:cNvPicPr>
          <a:picLocks noChangeAspect="1"/>
        </xdr:cNvPicPr>
      </xdr:nvPicPr>
      <xdr:blipFill>
        <a:blip xmlns:r="http://schemas.openxmlformats.org/officeDocument/2006/relationships" r:embed="rId4"/>
        <a:stretch>
          <a:fillRect/>
        </a:stretch>
      </xdr:blipFill>
      <xdr:spPr>
        <a:xfrm>
          <a:off x="16736106" y="4810126"/>
          <a:ext cx="285069" cy="285069"/>
        </a:xfrm>
        <a:prstGeom prst="rect">
          <a:avLst/>
        </a:prstGeom>
      </xdr:spPr>
    </xdr:pic>
    <xdr:clientData/>
  </xdr:twoCellAnchor>
  <xdr:twoCellAnchor>
    <xdr:from>
      <xdr:col>0</xdr:col>
      <xdr:colOff>171450</xdr:colOff>
      <xdr:row>21</xdr:row>
      <xdr:rowOff>28574</xdr:rowOff>
    </xdr:from>
    <xdr:to>
      <xdr:col>1</xdr:col>
      <xdr:colOff>714375</xdr:colOff>
      <xdr:row>27</xdr:row>
      <xdr:rowOff>114299</xdr:rowOff>
    </xdr:to>
    <xdr:sp macro="" textlink="">
      <xdr:nvSpPr>
        <xdr:cNvPr id="18" name="Rectangle 17">
          <a:extLst>
            <a:ext uri="{FF2B5EF4-FFF2-40B4-BE49-F238E27FC236}">
              <a16:creationId xmlns:a16="http://schemas.microsoft.com/office/drawing/2014/main" id="{A06314EF-F856-4899-AC29-67389CCF1C27}"/>
            </a:ext>
          </a:extLst>
        </xdr:cNvPr>
        <xdr:cNvSpPr/>
      </xdr:nvSpPr>
      <xdr:spPr>
        <a:xfrm>
          <a:off x="171450" y="4962524"/>
          <a:ext cx="5886450" cy="12858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Consolas" panose="020B0609020204030204" pitchFamily="49" charset="0"/>
              <a:ea typeface="+mn-ea"/>
              <a:cs typeface="+mn-cs"/>
            </a:rPr>
            <a:t>Accèder au contenu du presse-papiers </a:t>
          </a:r>
          <a:r>
            <a:rPr kumimoji="0" lang="fr-CH" sz="1400" b="1"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sym typeface="Wingdings" panose="05000000000000000000" pitchFamily="2" charset="2"/>
            </a:rPr>
            <a:t> clic sur l'icône dans le coin inférieur droit du groupe Accueil &gt; presse-papiers</a:t>
          </a:r>
          <a:r>
            <a:rPr lang="en-US" sz="1400" b="1" i="0" u="none" strike="noStrike">
              <a:solidFill>
                <a:schemeClr val="accent2">
                  <a:lumMod val="50000"/>
                </a:schemeClr>
              </a:solidFill>
              <a:effectLst/>
              <a:latin typeface="Consolas" panose="020B0609020204030204" pitchFamily="49" charset="0"/>
              <a:ea typeface="+mn-ea"/>
              <a:cs typeface="+mn-cs"/>
            </a:rPr>
            <a:t>.​</a:t>
          </a:r>
          <a:br>
            <a:rPr lang="en-US" sz="1400" b="1" i="0" u="none" strike="noStrike">
              <a:solidFill>
                <a:schemeClr val="accent2">
                  <a:lumMod val="50000"/>
                </a:schemeClr>
              </a:solidFill>
              <a:effectLst/>
              <a:latin typeface="Consolas" panose="020B0609020204030204" pitchFamily="49" charset="0"/>
              <a:ea typeface="+mn-ea"/>
              <a:cs typeface="+mn-cs"/>
            </a:rPr>
          </a:br>
          <a:r>
            <a:rPr lang="en-US" sz="1400" b="0" i="0" u="none" strike="noStrike">
              <a:solidFill>
                <a:sysClr val="windowText" lastClr="000000"/>
              </a:solidFill>
              <a:effectLst/>
              <a:latin typeface="Consolas" panose="020B0609020204030204" pitchFamily="49" charset="0"/>
              <a:ea typeface="+mn-ea"/>
              <a:cs typeface="+mn-cs"/>
            </a:rPr>
            <a:t>Vous pouvez ainsi coller un</a:t>
          </a:r>
          <a:r>
            <a:rPr lang="en-US" sz="1400" b="0" i="0" u="none" strike="noStrike" baseline="0">
              <a:solidFill>
                <a:sysClr val="windowText" lastClr="000000"/>
              </a:solidFill>
              <a:effectLst/>
              <a:latin typeface="Consolas" panose="020B0609020204030204" pitchFamily="49" charset="0"/>
              <a:ea typeface="+mn-ea"/>
              <a:cs typeface="+mn-cs"/>
            </a:rPr>
            <a:t> certain nombre d'objets copiés dans le presse-papiers auparavant.</a:t>
          </a:r>
          <a:endParaRPr lang="en-US" sz="1400" b="0" i="0" u="none" strike="noStrike">
            <a:solidFill>
              <a:sysClr val="windowText" lastClr="000000"/>
            </a:solidFill>
            <a:effectLst/>
            <a:latin typeface="Consolas" panose="020B0609020204030204" pitchFamily="49" charset="0"/>
            <a:ea typeface="+mn-ea"/>
            <a:cs typeface="+mn-cs"/>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2</xdr:row>
      <xdr:rowOff>123826</xdr:rowOff>
    </xdr:from>
    <xdr:to>
      <xdr:col>2</xdr:col>
      <xdr:colOff>523875</xdr:colOff>
      <xdr:row>11</xdr:row>
      <xdr:rowOff>28575</xdr:rowOff>
    </xdr:to>
    <xdr:sp macro="" textlink="">
      <xdr:nvSpPr>
        <xdr:cNvPr id="2" name="ZoneTexte 1">
          <a:extLst>
            <a:ext uri="{FF2B5EF4-FFF2-40B4-BE49-F238E27FC236}">
              <a16:creationId xmlns:a16="http://schemas.microsoft.com/office/drawing/2014/main" id="{57C58CBF-92EB-4047-BE8A-FB1E6629DF25}"/>
            </a:ext>
          </a:extLst>
        </xdr:cNvPr>
        <xdr:cNvSpPr txBox="1"/>
      </xdr:nvSpPr>
      <xdr:spPr>
        <a:xfrm>
          <a:off x="171450" y="1057276"/>
          <a:ext cx="6457950" cy="17811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Utilisez</a:t>
          </a:r>
          <a:r>
            <a:rPr lang="fr-CH" sz="1400" b="1" i="0" u="none" strike="noStrike">
              <a:solidFill>
                <a:schemeClr val="dk1"/>
              </a:solidFill>
              <a:effectLst/>
              <a:latin typeface="Consolas" panose="020B0609020204030204" pitchFamily="49" charset="0"/>
              <a:ea typeface="+mn-ea"/>
              <a:cs typeface="+mn-cs"/>
            </a:rPr>
            <a:t> la poignée de recopie </a:t>
          </a:r>
          <a:r>
            <a:rPr lang="fr-CH" sz="1400" b="0" i="0" u="none" strike="noStrike">
              <a:solidFill>
                <a:schemeClr val="dk1"/>
              </a:solidFill>
              <a:effectLst/>
              <a:latin typeface="Consolas" panose="020B0609020204030204" pitchFamily="49" charset="0"/>
              <a:ea typeface="+mn-ea"/>
              <a:cs typeface="+mn-cs"/>
            </a:rPr>
            <a:t>pour</a:t>
          </a:r>
          <a:r>
            <a:rPr lang="fr-CH" sz="1400" b="1" i="0" u="none" strike="noStrike">
              <a:solidFill>
                <a:schemeClr val="dk1"/>
              </a:solidFill>
              <a:effectLst/>
              <a:latin typeface="Consolas" panose="020B0609020204030204" pitchFamily="49" charset="0"/>
              <a:ea typeface="+mn-ea"/>
              <a:cs typeface="+mn-cs"/>
            </a:rPr>
            <a:t> </a:t>
          </a:r>
          <a:r>
            <a:rPr lang="fr-CH" sz="1400" b="0" i="0" u="none" strike="noStrike">
              <a:solidFill>
                <a:schemeClr val="dk1"/>
              </a:solidFill>
              <a:effectLst/>
              <a:latin typeface="Consolas" panose="020B0609020204030204" pitchFamily="49" charset="0"/>
              <a:ea typeface="+mn-ea"/>
              <a:cs typeface="+mn-cs"/>
            </a:rPr>
            <a:t>automatiquement copier une cellule. Si la cellule contient</a:t>
          </a:r>
          <a:r>
            <a:rPr lang="fr-CH" sz="1400" b="0" i="0" u="none" strike="noStrike" baseline="0">
              <a:solidFill>
                <a:schemeClr val="dk1"/>
              </a:solidFill>
              <a:effectLst/>
              <a:latin typeface="Consolas" panose="020B0609020204030204" pitchFamily="49" charset="0"/>
              <a:ea typeface="+mn-ea"/>
              <a:cs typeface="+mn-cs"/>
            </a:rPr>
            <a:t> une valeur numérique, Excel fera une copie incrémentée. Cliquer la petite icône en bas à droite du résultat d'une recopie pour modifier le résultat.</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Les options varient selon le type de données.</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0</xdr:col>
      <xdr:colOff>200025</xdr:colOff>
      <xdr:row>12</xdr:row>
      <xdr:rowOff>133351</xdr:rowOff>
    </xdr:from>
    <xdr:to>
      <xdr:col>2</xdr:col>
      <xdr:colOff>552450</xdr:colOff>
      <xdr:row>20</xdr:row>
      <xdr:rowOff>95251</xdr:rowOff>
    </xdr:to>
    <xdr:sp macro="" textlink="">
      <xdr:nvSpPr>
        <xdr:cNvPr id="3" name="ZoneTexte 2">
          <a:extLst>
            <a:ext uri="{FF2B5EF4-FFF2-40B4-BE49-F238E27FC236}">
              <a16:creationId xmlns:a16="http://schemas.microsoft.com/office/drawing/2014/main" id="{94A88E62-F311-4B66-9586-5926E22A8757}"/>
            </a:ext>
          </a:extLst>
        </xdr:cNvPr>
        <xdr:cNvSpPr txBox="1"/>
      </xdr:nvSpPr>
      <xdr:spPr>
        <a:xfrm>
          <a:off x="200025" y="3238501"/>
          <a:ext cx="6457950" cy="156210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Consolas" panose="020B0609020204030204" pitchFamily="49" charset="0"/>
              <a:ea typeface="+mn-ea"/>
              <a:cs typeface="+mn-cs"/>
            </a:rPr>
            <a:t>Insertion</a:t>
          </a:r>
          <a:r>
            <a:rPr lang="en-US" sz="1400" b="1" i="0" u="none" strike="noStrike" baseline="0">
              <a:solidFill>
                <a:schemeClr val="dk1"/>
              </a:solidFill>
              <a:effectLst/>
              <a:latin typeface="Consolas" panose="020B0609020204030204" pitchFamily="49" charset="0"/>
              <a:ea typeface="+mn-ea"/>
              <a:cs typeface="+mn-cs"/>
            </a:rPr>
            <a:t> de liste personnalisées </a:t>
          </a:r>
          <a:r>
            <a:rPr lang="en-US" sz="1400" b="0" i="0" u="none" strike="noStrike" baseline="0">
              <a:solidFill>
                <a:schemeClr val="dk1"/>
              </a:solidFill>
              <a:effectLst/>
              <a:latin typeface="Consolas" panose="020B0609020204030204" pitchFamily="49" charset="0"/>
              <a:ea typeface="+mn-ea"/>
              <a:cs typeface="+mn-cs"/>
            </a:rPr>
            <a:t>(jour + mois par défaut):</a:t>
          </a:r>
          <a:br>
            <a:rPr lang="en-US" sz="1400" b="0" i="0" u="none" strike="noStrike" baseline="0">
              <a:solidFill>
                <a:schemeClr val="dk1"/>
              </a:solidFill>
              <a:effectLst/>
              <a:latin typeface="Consolas" panose="020B0609020204030204" pitchFamily="49" charset="0"/>
              <a:ea typeface="+mn-ea"/>
              <a:cs typeface="+mn-cs"/>
            </a:rPr>
          </a:br>
          <a:r>
            <a:rPr lang="en-US" sz="1400" b="0" i="0" u="none" strike="noStrike" baseline="0">
              <a:solidFill>
                <a:schemeClr val="dk1"/>
              </a:solidFill>
              <a:effectLst/>
              <a:latin typeface="Consolas" panose="020B0609020204030204" pitchFamily="49" charset="0"/>
              <a:ea typeface="+mn-ea"/>
              <a:cs typeface="+mn-cs"/>
            </a:rPr>
            <a:t>Allez dans </a:t>
          </a:r>
          <a:r>
            <a:rPr lang="en-US" sz="1400" b="1" i="0" u="none" strike="noStrike" baseline="0">
              <a:solidFill>
                <a:schemeClr val="accent2">
                  <a:lumMod val="50000"/>
                </a:schemeClr>
              </a:solidFill>
              <a:effectLst/>
              <a:latin typeface="Consolas" panose="020B0609020204030204" pitchFamily="49" charset="0"/>
              <a:ea typeface="+mn-ea"/>
              <a:cs typeface="+mn-cs"/>
            </a:rPr>
            <a:t>Fichier &gt; Options &gt; Options avancées &gt; Générales &gt; Modifier les listes personnalisées </a:t>
          </a:r>
          <a:r>
            <a:rPr lang="en-US" sz="1400" b="0" i="0" u="none" strike="noStrike" baseline="0">
              <a:solidFill>
                <a:schemeClr val="dk1"/>
              </a:solidFill>
              <a:effectLst/>
              <a:latin typeface="Consolas" panose="020B0609020204030204" pitchFamily="49" charset="0"/>
              <a:ea typeface="+mn-ea"/>
              <a:cs typeface="+mn-cs"/>
            </a:rPr>
            <a:t>(dans le bas de la fenêtre).</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Ajoutez votre propre liste puis testez en recopiant depuis une cellule contenant un mot de la liste.</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oneCellAnchor>
    <xdr:from>
      <xdr:col>0</xdr:col>
      <xdr:colOff>152400</xdr:colOff>
      <xdr:row>0</xdr:row>
      <xdr:rowOff>40773</xdr:rowOff>
    </xdr:from>
    <xdr:ext cx="10258424" cy="843757"/>
    <xdr:sp macro="" textlink="">
      <xdr:nvSpPr>
        <xdr:cNvPr id="4" name="Rectangle 3">
          <a:extLst>
            <a:ext uri="{FF2B5EF4-FFF2-40B4-BE49-F238E27FC236}">
              <a16:creationId xmlns:a16="http://schemas.microsoft.com/office/drawing/2014/main" id="{C0227863-99F2-49B3-B08E-ECA26A101979}"/>
            </a:ext>
          </a:extLst>
        </xdr:cNvPr>
        <xdr:cNvSpPr/>
      </xdr:nvSpPr>
      <xdr:spPr>
        <a:xfrm>
          <a:off x="152400" y="40773"/>
          <a:ext cx="10258424" cy="843757"/>
        </a:xfrm>
        <a:prstGeom prst="rect">
          <a:avLst/>
        </a:prstGeom>
        <a:noFill/>
      </xdr:spPr>
      <xdr:txBody>
        <a:bodyPr wrap="square" lIns="91440" tIns="45720" rIns="91440" bIns="45720">
          <a:spAutoFit/>
        </a:bodyPr>
        <a:lstStyle/>
        <a:p>
          <a:pPr algn="ct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Recopie et insertion automatique</a:t>
          </a:r>
        </a:p>
      </xdr:txBody>
    </xdr:sp>
    <xdr:clientData/>
  </xdr:oneCellAnchor>
  <xdr:twoCellAnchor>
    <xdr:from>
      <xdr:col>9</xdr:col>
      <xdr:colOff>209550</xdr:colOff>
      <xdr:row>11</xdr:row>
      <xdr:rowOff>66675</xdr:rowOff>
    </xdr:from>
    <xdr:to>
      <xdr:col>15</xdr:col>
      <xdr:colOff>352425</xdr:colOff>
      <xdr:row>28</xdr:row>
      <xdr:rowOff>171449</xdr:rowOff>
    </xdr:to>
    <xdr:sp macro="" textlink="">
      <xdr:nvSpPr>
        <xdr:cNvPr id="7" name="ZoneTexte 6">
          <a:extLst>
            <a:ext uri="{FF2B5EF4-FFF2-40B4-BE49-F238E27FC236}">
              <a16:creationId xmlns:a16="http://schemas.microsoft.com/office/drawing/2014/main" id="{245B27EF-F784-4F89-BB63-7420CBBC8BE5}"/>
            </a:ext>
          </a:extLst>
        </xdr:cNvPr>
        <xdr:cNvSpPr txBox="1"/>
      </xdr:nvSpPr>
      <xdr:spPr>
        <a:xfrm>
          <a:off x="13115925" y="2971800"/>
          <a:ext cx="4476750" cy="3505199"/>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Remplissage instantané</a:t>
          </a:r>
          <a:r>
            <a:rPr lang="fr-CH"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Donnez</a:t>
          </a:r>
          <a:r>
            <a:rPr lang="fr-CH" sz="1400" b="0" i="0" u="none" strike="noStrike" baseline="0">
              <a:solidFill>
                <a:schemeClr val="dk1"/>
              </a:solidFill>
              <a:effectLst/>
              <a:latin typeface="Consolas" panose="020B0609020204030204" pitchFamily="49" charset="0"/>
              <a:ea typeface="+mn-ea"/>
              <a:cs typeface="+mn-cs"/>
            </a:rPr>
            <a:t> un ou plusieurs exemples pour qu'Excel détecte la logique d'extraction d'une partie des données.</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1" u="none" strike="noStrike" baseline="0">
              <a:solidFill>
                <a:schemeClr val="dk1"/>
              </a:solidFill>
              <a:effectLst/>
              <a:latin typeface="Consolas" panose="020B0609020204030204" pitchFamily="49" charset="0"/>
              <a:ea typeface="+mn-ea"/>
              <a:cs typeface="+mn-cs"/>
            </a:rPr>
            <a:t>Ex1:</a:t>
          </a:r>
          <a:r>
            <a:rPr lang="fr-CH" sz="1400" b="0" i="0" u="none" strike="noStrike" baseline="0">
              <a:solidFill>
                <a:schemeClr val="dk1"/>
              </a:solidFill>
              <a:effectLst/>
              <a:latin typeface="Consolas" panose="020B0609020204030204" pitchFamily="49" charset="0"/>
              <a:ea typeface="+mn-ea"/>
              <a:cs typeface="+mn-cs"/>
            </a:rPr>
            <a:t> Extraire la valeur entre '-' dans la liste ci-contre.</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Tapez 14 dans la 1ère cellule à droite de la 1ère référence. Placez le curseur sur la cellule suivante et cliquez sur </a:t>
          </a:r>
          <a:r>
            <a:rPr lang="fr-CH" sz="1400" b="1" i="0" u="none" strike="noStrike" baseline="0">
              <a:solidFill>
                <a:schemeClr val="accent2">
                  <a:lumMod val="50000"/>
                </a:schemeClr>
              </a:solidFill>
              <a:effectLst/>
              <a:latin typeface="Consolas" panose="020B0609020204030204" pitchFamily="49" charset="0"/>
              <a:ea typeface="+mn-ea"/>
              <a:cs typeface="+mn-cs"/>
            </a:rPr>
            <a:t>Données &gt; Remplissage instantané </a:t>
          </a:r>
          <a:r>
            <a:rPr lang="fr-CH" sz="1400" b="0" i="0" u="none" strike="noStrike" baseline="0">
              <a:solidFill>
                <a:schemeClr val="dk1"/>
              </a:solidFill>
              <a:effectLst/>
              <a:latin typeface="Consolas" panose="020B0609020204030204" pitchFamily="49" charset="0"/>
              <a:ea typeface="+mn-ea"/>
              <a:cs typeface="+mn-cs"/>
            </a:rPr>
            <a:t>(CTRL + E).</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Selon les valeurs, il sera peut-être nécessaire de donner 2 exemples.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1" u="none" strike="noStrike">
              <a:solidFill>
                <a:schemeClr val="dk1"/>
              </a:solidFill>
              <a:effectLst/>
              <a:latin typeface="Consolas" panose="020B0609020204030204" pitchFamily="49" charset="0"/>
              <a:ea typeface="+mn-ea"/>
              <a:cs typeface="+mn-cs"/>
            </a:rPr>
            <a:t>Ex2</a:t>
          </a:r>
          <a:r>
            <a:rPr lang="en-US" sz="1400" b="0" i="0" u="none" strike="noStrike">
              <a:solidFill>
                <a:schemeClr val="dk1"/>
              </a:solidFill>
              <a:effectLst/>
              <a:latin typeface="Consolas" panose="020B0609020204030204" pitchFamily="49" charset="0"/>
              <a:ea typeface="+mn-ea"/>
              <a:cs typeface="+mn-cs"/>
            </a:rPr>
            <a:t>: Extraire le No</a:t>
          </a:r>
          <a:r>
            <a:rPr lang="en-US" sz="1400" b="0" i="0" u="none" strike="noStrike" baseline="0">
              <a:solidFill>
                <a:schemeClr val="dk1"/>
              </a:solidFill>
              <a:effectLst/>
              <a:latin typeface="Consolas" panose="020B0609020204030204" pitchFamily="49" charset="0"/>
              <a:ea typeface="+mn-ea"/>
              <a:cs typeface="+mn-cs"/>
            </a:rPr>
            <a:t> en 4e position dans la chaîne de caractères.</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0</xdr:col>
      <xdr:colOff>209550</xdr:colOff>
      <xdr:row>22</xdr:row>
      <xdr:rowOff>9526</xdr:rowOff>
    </xdr:from>
    <xdr:to>
      <xdr:col>2</xdr:col>
      <xdr:colOff>561975</xdr:colOff>
      <xdr:row>31</xdr:row>
      <xdr:rowOff>95251</xdr:rowOff>
    </xdr:to>
    <xdr:sp macro="" textlink="">
      <xdr:nvSpPr>
        <xdr:cNvPr id="10" name="ZoneTexte 9">
          <a:extLst>
            <a:ext uri="{FF2B5EF4-FFF2-40B4-BE49-F238E27FC236}">
              <a16:creationId xmlns:a16="http://schemas.microsoft.com/office/drawing/2014/main" id="{120A7EDE-22FE-4EEE-8F30-6C88F52093A2}"/>
            </a:ext>
          </a:extLst>
        </xdr:cNvPr>
        <xdr:cNvSpPr txBox="1"/>
      </xdr:nvSpPr>
      <xdr:spPr>
        <a:xfrm>
          <a:off x="209550" y="5114926"/>
          <a:ext cx="6457950" cy="188595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Recopier des valeurs depuis la barre</a:t>
          </a:r>
          <a:r>
            <a:rPr lang="en-US" sz="1400" b="0" i="0" u="none" strike="noStrike" baseline="0">
              <a:solidFill>
                <a:schemeClr val="dk1"/>
              </a:solidFill>
              <a:effectLst/>
              <a:latin typeface="Consolas" panose="020B0609020204030204" pitchFamily="49" charset="0"/>
              <a:ea typeface="+mn-ea"/>
              <a:cs typeface="+mn-cs"/>
            </a:rPr>
            <a:t> d'état:</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Sélectionnez des données numériques. Dans la barre d'état, vous verrez automatiquement apparaître des statistiques sur ces cellues comme moyenne, somme et nombre de cellules. Avec un clic gauche sur une de ces valeurs, elle sera copiée dans le presse-papiers.</a:t>
          </a:r>
          <a:br>
            <a:rPr lang="en-US" sz="1400" b="0" i="0" u="none" strike="noStrike" baseline="0">
              <a:solidFill>
                <a:schemeClr val="dk1"/>
              </a:solidFill>
              <a:effectLst/>
              <a:latin typeface="Consolas" panose="020B0609020204030204" pitchFamily="49" charset="0"/>
              <a:ea typeface="+mn-ea"/>
              <a:cs typeface="+mn-cs"/>
            </a:rPr>
          </a:br>
          <a:r>
            <a:rPr lang="en-US" sz="1400" b="0" i="0" u="none" strike="noStrike" baseline="0">
              <a:solidFill>
                <a:schemeClr val="dk1"/>
              </a:solidFill>
              <a:effectLst/>
              <a:latin typeface="Consolas" panose="020B0609020204030204" pitchFamily="49" charset="0"/>
              <a:ea typeface="+mn-ea"/>
              <a:cs typeface="+mn-cs"/>
            </a:rPr>
            <a:t>Personnalisez votre barre d'état avec un clic droit sur cette dernière, choisissez alors les options qui vous intéressent.</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0</xdr:col>
      <xdr:colOff>1021859</xdr:colOff>
      <xdr:row>0</xdr:row>
      <xdr:rowOff>59823</xdr:rowOff>
    </xdr:from>
    <xdr:ext cx="11789266" cy="843757"/>
    <xdr:sp macro="" textlink="">
      <xdr:nvSpPr>
        <xdr:cNvPr id="2" name="Rectangle 1">
          <a:extLst>
            <a:ext uri="{FF2B5EF4-FFF2-40B4-BE49-F238E27FC236}">
              <a16:creationId xmlns:a16="http://schemas.microsoft.com/office/drawing/2014/main" id="{DA40ACB9-1B22-4816-8CC6-BB77E6B84F56}"/>
            </a:ext>
          </a:extLst>
        </xdr:cNvPr>
        <xdr:cNvSpPr/>
      </xdr:nvSpPr>
      <xdr:spPr>
        <a:xfrm>
          <a:off x="1021859" y="59823"/>
          <a:ext cx="11789266"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latin typeface="+mn-lt"/>
              <a:ea typeface="+mn-ea"/>
              <a:cs typeface="+mn-cs"/>
            </a:rPr>
            <a:t>Formules : Introduction</a:t>
          </a:r>
        </a:p>
      </xdr:txBody>
    </xdr:sp>
    <xdr:clientData/>
  </xdr:oneCellAnchor>
  <xdr:twoCellAnchor>
    <xdr:from>
      <xdr:col>0</xdr:col>
      <xdr:colOff>140864</xdr:colOff>
      <xdr:row>2</xdr:row>
      <xdr:rowOff>147570</xdr:rowOff>
    </xdr:from>
    <xdr:to>
      <xdr:col>2</xdr:col>
      <xdr:colOff>442712</xdr:colOff>
      <xdr:row>20</xdr:row>
      <xdr:rowOff>85725</xdr:rowOff>
    </xdr:to>
    <xdr:sp macro="" textlink="">
      <xdr:nvSpPr>
        <xdr:cNvPr id="3" name="Rectangle 2">
          <a:extLst>
            <a:ext uri="{FF2B5EF4-FFF2-40B4-BE49-F238E27FC236}">
              <a16:creationId xmlns:a16="http://schemas.microsoft.com/office/drawing/2014/main" id="{AB4EA405-C879-462F-8766-7C136F7B121F}"/>
            </a:ext>
          </a:extLst>
        </xdr:cNvPr>
        <xdr:cNvSpPr/>
      </xdr:nvSpPr>
      <xdr:spPr>
        <a:xfrm>
          <a:off x="140864" y="1176270"/>
          <a:ext cx="5750148" cy="410058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Une formule Excel commence toujours par '</a:t>
          </a:r>
          <a:r>
            <a:rPr lang="fr-CH" sz="1400" b="1" i="0" u="none" strike="noStrike">
              <a:solidFill>
                <a:schemeClr val="accent2">
                  <a:lumMod val="50000"/>
                </a:schemeClr>
              </a:solidFill>
              <a:effectLst/>
              <a:latin typeface="Consolas" panose="020B0609020204030204" pitchFamily="49" charset="0"/>
              <a:ea typeface="+mn-ea"/>
              <a:cs typeface="+mn-cs"/>
            </a:rPr>
            <a:t>=</a:t>
          </a:r>
          <a:r>
            <a:rPr lang="fr-CH" sz="1400" b="0" i="0" u="none" strike="noStrike">
              <a:solidFill>
                <a:schemeClr val="dk1"/>
              </a:solidFill>
              <a:effectLst/>
              <a:latin typeface="Consolas" panose="020B0609020204030204" pitchFamily="49" charset="0"/>
              <a:ea typeface="+mn-ea"/>
              <a:cs typeface="+mn-cs"/>
            </a:rPr>
            <a:t>'.</a:t>
          </a: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0"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Vous pouvez utiliser Excel</a:t>
          </a:r>
          <a:r>
            <a:rPr lang="fr-CH" sz="1400" b="0" i="0" u="none" strike="noStrike" baseline="0">
              <a:solidFill>
                <a:schemeClr val="dk1"/>
              </a:solidFill>
              <a:effectLst/>
              <a:latin typeface="Consolas" panose="020B0609020204030204" pitchFamily="49" charset="0"/>
              <a:ea typeface="+mn-ea"/>
              <a:cs typeface="+mn-cs"/>
            </a:rPr>
            <a:t> comme une calculatrice: p.ex tapez ' </a:t>
          </a:r>
          <a:r>
            <a:rPr lang="fr-CH" sz="1400" b="0" i="0" u="none" strike="noStrike" baseline="0">
              <a:solidFill>
                <a:schemeClr val="accent2">
                  <a:lumMod val="50000"/>
                </a:schemeClr>
              </a:solidFill>
              <a:effectLst/>
              <a:latin typeface="Consolas" panose="020B0609020204030204" pitchFamily="49" charset="0"/>
              <a:ea typeface="+mn-ea"/>
              <a:cs typeface="+mn-cs"/>
            </a:rPr>
            <a:t>=2+2 </a:t>
          </a:r>
          <a:r>
            <a:rPr lang="fr-CH" sz="1400" b="0" i="0" u="none" strike="noStrike" baseline="0">
              <a:solidFill>
                <a:schemeClr val="dk1"/>
              </a:solidFill>
              <a:effectLst/>
              <a:latin typeface="Consolas" panose="020B0609020204030204" pitchFamily="49" charset="0"/>
              <a:ea typeface="+mn-ea"/>
              <a:cs typeface="+mn-cs"/>
            </a:rPr>
            <a:t>' dans une cellule.</a:t>
          </a: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Vous pouvez utiliser le contenu d'une cellule dans une formule. P. ex. tapez ' </a:t>
          </a:r>
          <a:r>
            <a:rPr lang="fr-CH" sz="1400" b="0" i="0" u="none" strike="noStrike" baseline="0">
              <a:solidFill>
                <a:schemeClr val="accent2">
                  <a:lumMod val="50000"/>
                </a:schemeClr>
              </a:solidFill>
              <a:effectLst/>
              <a:latin typeface="Consolas" panose="020B0609020204030204" pitchFamily="49" charset="0"/>
              <a:ea typeface="+mn-ea"/>
              <a:cs typeface="+mn-cs"/>
            </a:rPr>
            <a:t>= D3 + 1 </a:t>
          </a:r>
          <a:r>
            <a:rPr lang="fr-CH" sz="1400" b="0" i="0" u="none" strike="noStrike" baseline="0">
              <a:solidFill>
                <a:schemeClr val="dk1"/>
              </a:solidFill>
              <a:effectLst/>
              <a:latin typeface="Consolas" panose="020B0609020204030204" pitchFamily="49" charset="0"/>
              <a:ea typeface="+mn-ea"/>
              <a:cs typeface="+mn-cs"/>
            </a:rPr>
            <a:t>' dans la cellule D22.</a:t>
          </a: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Vous pouvez aussi utiliser des fonctions dans les formules. Tapez ' </a:t>
          </a:r>
          <a:r>
            <a:rPr lang="fr-CH" sz="1400" b="0" i="0" u="none" strike="noStrike" baseline="0">
              <a:solidFill>
                <a:schemeClr val="accent2">
                  <a:lumMod val="50000"/>
                </a:schemeClr>
              </a:solidFill>
              <a:effectLst/>
              <a:latin typeface="Consolas" panose="020B0609020204030204" pitchFamily="49" charset="0"/>
              <a:ea typeface="+mn-ea"/>
              <a:cs typeface="+mn-cs"/>
            </a:rPr>
            <a:t>=SOMME(D5:F5) </a:t>
          </a:r>
          <a:r>
            <a:rPr lang="fr-CH" sz="1400" b="0" i="0" u="none" strike="noStrike" baseline="0">
              <a:solidFill>
                <a:schemeClr val="dk1"/>
              </a:solidFill>
              <a:effectLst/>
              <a:latin typeface="Consolas" panose="020B0609020204030204" pitchFamily="49" charset="0"/>
              <a:ea typeface="+mn-ea"/>
              <a:cs typeface="+mn-cs"/>
            </a:rPr>
            <a:t>' dans la cellule G5 puis recopier la formule dans toutes les cellules de la colonne G jusqu'à la ligne 19.</a:t>
          </a: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Ajoutez dans la colonne H la formule qui calcule le montant de TVA sachant que la taxe est de 8%.</a:t>
          </a: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Même exercice mais en utilisant une cellule externe (de votre choix) qui contient le taux de TVA en %.</a:t>
          </a:r>
        </a:p>
        <a:p>
          <a:pPr marL="0" marR="0" lvl="0" indent="0" algn="l"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1</xdr:col>
      <xdr:colOff>19049</xdr:colOff>
      <xdr:row>0</xdr:row>
      <xdr:rowOff>31248</xdr:rowOff>
    </xdr:from>
    <xdr:ext cx="15135225" cy="843757"/>
    <xdr:sp macro="" textlink="">
      <xdr:nvSpPr>
        <xdr:cNvPr id="2" name="Rectangle 1">
          <a:extLst>
            <a:ext uri="{FF2B5EF4-FFF2-40B4-BE49-F238E27FC236}">
              <a16:creationId xmlns:a16="http://schemas.microsoft.com/office/drawing/2014/main" id="{07927D60-D692-4871-8D82-44A51D4F9BB3}"/>
            </a:ext>
          </a:extLst>
        </xdr:cNvPr>
        <xdr:cNvSpPr/>
      </xdr:nvSpPr>
      <xdr:spPr>
        <a:xfrm>
          <a:off x="1295399" y="31248"/>
          <a:ext cx="15135225"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Références de cellule: relative, absolue et mixte</a:t>
          </a:r>
        </a:p>
      </xdr:txBody>
    </xdr:sp>
    <xdr:clientData/>
  </xdr:oneCellAnchor>
  <xdr:twoCellAnchor>
    <xdr:from>
      <xdr:col>0</xdr:col>
      <xdr:colOff>180975</xdr:colOff>
      <xdr:row>3</xdr:row>
      <xdr:rowOff>66677</xdr:rowOff>
    </xdr:from>
    <xdr:to>
      <xdr:col>5</xdr:col>
      <xdr:colOff>952500</xdr:colOff>
      <xdr:row>27</xdr:row>
      <xdr:rowOff>142876</xdr:rowOff>
    </xdr:to>
    <xdr:sp macro="" textlink="">
      <xdr:nvSpPr>
        <xdr:cNvPr id="3" name="ZoneTexte 2">
          <a:extLst>
            <a:ext uri="{FF2B5EF4-FFF2-40B4-BE49-F238E27FC236}">
              <a16:creationId xmlns:a16="http://schemas.microsoft.com/office/drawing/2014/main" id="{E2087971-6239-4DF5-9383-55D6E3F406DA}"/>
            </a:ext>
          </a:extLst>
        </xdr:cNvPr>
        <xdr:cNvSpPr txBox="1"/>
      </xdr:nvSpPr>
      <xdr:spPr>
        <a:xfrm>
          <a:off x="180975" y="1295402"/>
          <a:ext cx="4962525" cy="48672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Référence relative</a:t>
          </a:r>
          <a:r>
            <a:rPr lang="fr-CH" sz="1400" b="0" i="0" u="none" strike="noStrike">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baseline="0">
              <a:solidFill>
                <a:schemeClr val="accent1"/>
              </a:solidFill>
              <a:effectLst/>
              <a:latin typeface="Consolas" panose="020B0609020204030204" pitchFamily="49" charset="0"/>
              <a:ea typeface="+mn-ea"/>
              <a:cs typeface="+mn-cs"/>
            </a:rPr>
            <a:t>B12      C4:C10</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Format habituel dans les formules, Indice de colonne suivi du numéro de ligne. Cette référence est automatiquement modifiée si recopiée dans différentes cellules.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1" i="0" u="none" strike="noStrike" kern="0" cap="none" spc="0" normalizeH="0" baseline="0" noProof="0">
              <a:ln>
                <a:noFill/>
              </a:ln>
              <a:solidFill>
                <a:prstClr val="black"/>
              </a:solidFill>
              <a:effectLst/>
              <a:uLnTx/>
              <a:uFillTx/>
              <a:latin typeface="Consolas" panose="020B0609020204030204" pitchFamily="49" charset="0"/>
              <a:ea typeface="+mn-ea"/>
              <a:cs typeface="+mn-cs"/>
            </a:rPr>
            <a:t>Référence absolue</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baseline="0" noProof="0">
              <a:solidFill>
                <a:schemeClr val="accent1"/>
              </a:solidFill>
              <a:effectLst/>
              <a:latin typeface="Consolas" panose="020B0609020204030204" pitchFamily="49" charset="0"/>
              <a:ea typeface="+mn-ea"/>
              <a:cs typeface="+mn-cs"/>
            </a:rPr>
            <a:t>$B$12	C$4:$C$10</a:t>
          </a: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Le symbole $ à gauche de la dimension fige cette dernière. Cette référence est bloquée et reste identique si recopiée dans différentes cellules.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1" i="0" u="none" strike="noStrike" kern="0" cap="none" spc="0" normalizeH="0" baseline="0" noProof="0">
              <a:ln>
                <a:noFill/>
              </a:ln>
              <a:solidFill>
                <a:prstClr val="black"/>
              </a:solidFill>
              <a:effectLst/>
              <a:uLnTx/>
              <a:uFillTx/>
              <a:latin typeface="Consolas" panose="020B0609020204030204" pitchFamily="49" charset="0"/>
              <a:ea typeface="+mn-ea"/>
              <a:cs typeface="+mn-cs"/>
            </a:rPr>
            <a:t>Référence mixte</a:t>
          </a: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baseline="0" noProof="0">
              <a:solidFill>
                <a:schemeClr val="accent1"/>
              </a:solidFill>
              <a:effectLst/>
              <a:latin typeface="Consolas" panose="020B0609020204030204" pitchFamily="49" charset="0"/>
              <a:ea typeface="+mn-ea"/>
              <a:cs typeface="+mn-cs"/>
            </a:rPr>
            <a:t>B$12 $B12		C$4:C$10</a:t>
          </a:r>
        </a:p>
        <a:p>
          <a:pPr marL="0" marR="0" lvl="0" indent="0" defTabSz="914400" rtl="0" eaLnBrk="1" fontAlgn="auto" latinLnBrk="0" hangingPunct="1">
            <a:lnSpc>
              <a:spcPct val="100000"/>
            </a:lnSpc>
            <a:spcBef>
              <a:spcPts val="0"/>
            </a:spcBef>
            <a:spcAft>
              <a:spcPts val="0"/>
            </a:spcAft>
            <a:buClrTx/>
            <a:buSzTx/>
            <a:buFontTx/>
            <a:buNone/>
            <a:tabLst/>
            <a:defRPr/>
          </a:pPr>
          <a:r>
            <a:rPr kumimoji="0" lang="fr-CH"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Une des deux dimensions est figée, l'autre pas. La dimension non figée sera automatiquement modifiée lors de la recopie dans différentes cellules.</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1" i="1" u="none" strike="noStrike">
              <a:solidFill>
                <a:srgbClr val="C00000"/>
              </a:solidFill>
              <a:effectLst/>
              <a:latin typeface="Consolas" panose="020B0609020204030204" pitchFamily="49" charset="0"/>
              <a:ea typeface="+mn-ea"/>
              <a:cs typeface="+mn-cs"/>
            </a:rPr>
            <a:t>UTILISEZ F4</a:t>
          </a:r>
          <a:r>
            <a:rPr lang="en-US" sz="1400" b="1" i="1" u="none" strike="noStrike" baseline="0">
              <a:solidFill>
                <a:srgbClr val="C00000"/>
              </a:solidFill>
              <a:effectLst/>
              <a:latin typeface="Consolas" panose="020B0609020204030204" pitchFamily="49" charset="0"/>
              <a:ea typeface="+mn-ea"/>
              <a:cs typeface="+mn-cs"/>
            </a:rPr>
            <a:t> pour basculer entre les 4 états possible de référence.</a:t>
          </a:r>
          <a:endParaRPr lang="en-US" sz="1400" b="1" i="1" u="none" strike="noStrike">
            <a:solidFill>
              <a:srgbClr val="C00000"/>
            </a:solidFill>
            <a:effectLst/>
            <a:latin typeface="Consolas" panose="020B0609020204030204" pitchFamily="49" charset="0"/>
            <a:ea typeface="+mn-ea"/>
            <a:cs typeface="+mn-cs"/>
          </a:endParaRPr>
        </a:p>
      </xdr:txBody>
    </xdr:sp>
    <xdr:clientData/>
  </xdr:twoCellAnchor>
  <xdr:twoCellAnchor>
    <xdr:from>
      <xdr:col>17</xdr:col>
      <xdr:colOff>200025</xdr:colOff>
      <xdr:row>3</xdr:row>
      <xdr:rowOff>66675</xdr:rowOff>
    </xdr:from>
    <xdr:to>
      <xdr:col>24</xdr:col>
      <xdr:colOff>190499</xdr:colOff>
      <xdr:row>27</xdr:row>
      <xdr:rowOff>104775</xdr:rowOff>
    </xdr:to>
    <xdr:sp macro="" textlink="">
      <xdr:nvSpPr>
        <xdr:cNvPr id="4" name="ZoneTexte 3">
          <a:extLst>
            <a:ext uri="{FF2B5EF4-FFF2-40B4-BE49-F238E27FC236}">
              <a16:creationId xmlns:a16="http://schemas.microsoft.com/office/drawing/2014/main" id="{AFE88CD2-ED7E-4B69-9F13-484E079ECD11}"/>
            </a:ext>
          </a:extLst>
        </xdr:cNvPr>
        <xdr:cNvSpPr txBox="1"/>
      </xdr:nvSpPr>
      <xdr:spPr>
        <a:xfrm>
          <a:off x="13154025" y="1295400"/>
          <a:ext cx="4257674" cy="48291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Exercice I1:</a:t>
          </a:r>
          <a:br>
            <a:rPr lang="fr-CH" sz="1400" b="0" i="0" u="none" strike="noStrike" baseline="0">
              <a:solidFill>
                <a:schemeClr val="dk1"/>
              </a:solidFill>
              <a:effectLst/>
              <a:latin typeface="Consolas" panose="020B0609020204030204" pitchFamily="49" charset="0"/>
              <a:ea typeface="+mn-ea"/>
              <a:cs typeface="+mn-cs"/>
            </a:rPr>
          </a:b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1. Calculez les montants de la colonne[ TOTAL].</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2. Complétez, avec une seule formule, le tableau de simulation de prix de vente.</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Utilisez les valeurs de % dans les en-têtes de colonne pour calculer la somme du prix total et du profit.</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3. Modifiez la formule pour que le total comprenne la TVA. Le montant est défini dans la cellule 'Variables'!$H$3. Créez un nom défini TVACH pour finaliser votre formule.</a:t>
          </a:r>
        </a:p>
        <a:p>
          <a:pPr marL="0" marR="0" lvl="0" indent="0" defTabSz="914400" rtl="0" eaLnBrk="1" fontAlgn="auto" latinLnBrk="0" hangingPunct="1">
            <a:lnSpc>
              <a:spcPct val="100000"/>
            </a:lnSpc>
            <a:spcBef>
              <a:spcPts val="0"/>
            </a:spcBef>
            <a:spcAft>
              <a:spcPts val="0"/>
            </a:spcAft>
            <a:buClrTx/>
            <a:buSzTx/>
            <a:buFontTx/>
            <a:buNone/>
            <a:tabLst/>
            <a:defRPr/>
          </a:pP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4. Arrondissez tous les montants à l'unité.</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0</xdr:col>
      <xdr:colOff>1279034</xdr:colOff>
      <xdr:row>0</xdr:row>
      <xdr:rowOff>88398</xdr:rowOff>
    </xdr:from>
    <xdr:ext cx="11789266" cy="843757"/>
    <xdr:sp macro="" textlink="">
      <xdr:nvSpPr>
        <xdr:cNvPr id="2" name="Rectangle 1">
          <a:extLst>
            <a:ext uri="{FF2B5EF4-FFF2-40B4-BE49-F238E27FC236}">
              <a16:creationId xmlns:a16="http://schemas.microsoft.com/office/drawing/2014/main" id="{6898F9EA-7A6D-4A07-AC31-BC5AA413EEA0}"/>
            </a:ext>
          </a:extLst>
        </xdr:cNvPr>
        <xdr:cNvSpPr/>
      </xdr:nvSpPr>
      <xdr:spPr>
        <a:xfrm>
          <a:off x="1279034" y="88398"/>
          <a:ext cx="11789266"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Noms définis</a:t>
          </a:r>
        </a:p>
      </xdr:txBody>
    </xdr:sp>
    <xdr:clientData/>
  </xdr:oneCellAnchor>
  <xdr:twoCellAnchor>
    <xdr:from>
      <xdr:col>0</xdr:col>
      <xdr:colOff>140864</xdr:colOff>
      <xdr:row>2</xdr:row>
      <xdr:rowOff>147570</xdr:rowOff>
    </xdr:from>
    <xdr:to>
      <xdr:col>2</xdr:col>
      <xdr:colOff>442712</xdr:colOff>
      <xdr:row>17</xdr:row>
      <xdr:rowOff>123825</xdr:rowOff>
    </xdr:to>
    <xdr:sp macro="" textlink="">
      <xdr:nvSpPr>
        <xdr:cNvPr id="3" name="Rectangle 2">
          <a:extLst>
            <a:ext uri="{FF2B5EF4-FFF2-40B4-BE49-F238E27FC236}">
              <a16:creationId xmlns:a16="http://schemas.microsoft.com/office/drawing/2014/main" id="{EEAE776B-FF2A-4F0B-9782-E7BE21B677EF}"/>
            </a:ext>
          </a:extLst>
        </xdr:cNvPr>
        <xdr:cNvSpPr/>
      </xdr:nvSpPr>
      <xdr:spPr>
        <a:xfrm>
          <a:off x="140864" y="1176270"/>
          <a:ext cx="5750148" cy="356718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Allez dans la feuille 'Variables' et sélectionnez la cellule qui contient le pourcentage de TVA.​</a:t>
          </a:r>
          <a:br>
            <a:rPr lang="fr-CH" sz="1400" b="0" i="0" u="none" strike="noStrike">
              <a:solidFill>
                <a:schemeClr val="dk1"/>
              </a:solidFill>
              <a:effectLst/>
              <a:latin typeface="Consolas" panose="020B0609020204030204" pitchFamily="49" charset="0"/>
              <a:ea typeface="+mn-ea"/>
              <a:cs typeface="+mn-cs"/>
            </a:rPr>
          </a:br>
          <a:r>
            <a:rPr lang="fr-CH" sz="1400" b="0" i="0" u="none" strike="noStrike">
              <a:solidFill>
                <a:schemeClr val="dk1"/>
              </a:solidFill>
              <a:effectLst/>
              <a:latin typeface="Consolas" panose="020B0609020204030204" pitchFamily="49" charset="0"/>
              <a:ea typeface="+mn-ea"/>
              <a:cs typeface="+mn-cs"/>
            </a:rPr>
            <a:t>Définissez un nom (TVApct p.ex.) dans la barre de nom de cette cellule (pas d’espace ni de caractères fantaisistes, commencez par une lettre)</a:t>
          </a:r>
        </a:p>
        <a:p>
          <a:pPr marL="0" marR="0" lvl="0" indent="0" algn="l" defTabSz="914400" rtl="0" eaLnBrk="1" fontAlgn="auto" latinLnBrk="0" hangingPunct="1">
            <a:lnSpc>
              <a:spcPct val="100000"/>
            </a:lnSpc>
            <a:spcBef>
              <a:spcPts val="0"/>
            </a:spcBef>
            <a:spcAft>
              <a:spcPts val="0"/>
            </a:spcAft>
            <a:buClrTx/>
            <a:buSzTx/>
            <a:buFontTx/>
            <a:buNone/>
            <a:tabLst/>
            <a:defRPr/>
          </a:pPr>
          <a:br>
            <a:rPr lang="fr-CH" sz="1400" b="0" i="0" u="none" strike="noStrike">
              <a:solidFill>
                <a:schemeClr val="dk1"/>
              </a:solidFill>
              <a:effectLst/>
              <a:latin typeface="Consolas" panose="020B0609020204030204" pitchFamily="49" charset="0"/>
              <a:ea typeface="+mn-ea"/>
              <a:cs typeface="+mn-cs"/>
            </a:rPr>
          </a:br>
          <a:r>
            <a:rPr lang="fr-CH" sz="1400" b="0" i="0" u="none" strike="noStrike">
              <a:solidFill>
                <a:schemeClr val="dk1"/>
              </a:solidFill>
              <a:effectLst/>
              <a:latin typeface="Consolas" panose="020B0609020204030204" pitchFamily="49" charset="0"/>
              <a:ea typeface="+mn-ea"/>
              <a:cs typeface="+mn-cs"/>
            </a:rPr>
            <a:t>cliquez sur une autre feuille, puis sélectionnez le nom «TVApct » dans la barre de noms pour être transféré vers cette cellule.​</a:t>
          </a:r>
        </a:p>
        <a:p>
          <a:pPr marL="0" marR="0" lvl="0" indent="0" algn="l" defTabSz="914400" rtl="0" eaLnBrk="1" fontAlgn="auto" latinLnBrk="0" hangingPunct="1">
            <a:lnSpc>
              <a:spcPct val="100000"/>
            </a:lnSpc>
            <a:spcBef>
              <a:spcPts val="0"/>
            </a:spcBef>
            <a:spcAft>
              <a:spcPts val="0"/>
            </a:spcAft>
            <a:buClrTx/>
            <a:buSzTx/>
            <a:buFontTx/>
            <a:buNone/>
            <a:tabLst/>
            <a:defRPr/>
          </a:pPr>
          <a:br>
            <a:rPr lang="fr-CH" sz="1400" b="0" i="0" u="none" strike="noStrike">
              <a:solidFill>
                <a:schemeClr val="dk1"/>
              </a:solidFill>
              <a:effectLst/>
              <a:latin typeface="Consolas" panose="020B0609020204030204" pitchFamily="49" charset="0"/>
              <a:ea typeface="+mn-ea"/>
              <a:cs typeface="+mn-cs"/>
            </a:rPr>
          </a:br>
          <a:r>
            <a:rPr lang="fr-CH" sz="1400" b="0" i="0" u="none" strike="noStrike">
              <a:solidFill>
                <a:schemeClr val="dk1"/>
              </a:solidFill>
              <a:effectLst/>
              <a:latin typeface="Consolas" panose="020B0609020204030204" pitchFamily="49" charset="0"/>
              <a:ea typeface="+mn-ea"/>
              <a:cs typeface="+mn-cs"/>
            </a:rPr>
            <a:t>Dans cette feuille, définissez le nom ‘TotalNet' sur la colonne qui contient le total net dans la table et créez une formule qui calcule:</a:t>
          </a:r>
        </a:p>
        <a:p>
          <a:pPr marL="457200" marR="0" lvl="1"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 les montants</a:t>
          </a:r>
          <a:r>
            <a:rPr lang="fr-CH" sz="1400" b="0" i="0" u="none" strike="noStrike" baseline="0">
              <a:solidFill>
                <a:schemeClr val="dk1"/>
              </a:solidFill>
              <a:effectLst/>
              <a:latin typeface="Consolas" panose="020B0609020204030204" pitchFamily="49" charset="0"/>
              <a:ea typeface="+mn-ea"/>
              <a:cs typeface="+mn-cs"/>
            </a:rPr>
            <a:t> de TVA</a:t>
          </a:r>
          <a:r>
            <a:rPr lang="fr-CH" sz="1400" b="0" i="0" u="none" strike="noStrike">
              <a:solidFill>
                <a:schemeClr val="dk1"/>
              </a:solidFill>
              <a:effectLst/>
              <a:latin typeface="Consolas" panose="020B0609020204030204" pitchFamily="49" charset="0"/>
              <a:ea typeface="+mn-ea"/>
              <a:cs typeface="+mn-cs"/>
            </a:rPr>
            <a:t> '= TotalNet * TVApct'</a:t>
          </a:r>
        </a:p>
        <a:p>
          <a:pPr marL="457200" marR="0" lvl="1" indent="0" algn="l"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 Les totaux</a:t>
          </a:r>
          <a:r>
            <a:rPr lang="fr-CH" sz="1400" b="0" i="0" u="none" strike="noStrike" baseline="0">
              <a:solidFill>
                <a:schemeClr val="dk1"/>
              </a:solidFill>
              <a:effectLst/>
              <a:latin typeface="Consolas" panose="020B0609020204030204" pitchFamily="49" charset="0"/>
              <a:ea typeface="+mn-ea"/>
              <a:cs typeface="+mn-cs"/>
            </a:rPr>
            <a:t> TTC '=TotalNet * (TVApct+1)'</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1</xdr:col>
      <xdr:colOff>402734</xdr:colOff>
      <xdr:row>0</xdr:row>
      <xdr:rowOff>31248</xdr:rowOff>
    </xdr:from>
    <xdr:ext cx="11789266" cy="843757"/>
    <xdr:sp macro="" textlink="">
      <xdr:nvSpPr>
        <xdr:cNvPr id="2" name="Rectangle 1">
          <a:extLst>
            <a:ext uri="{FF2B5EF4-FFF2-40B4-BE49-F238E27FC236}">
              <a16:creationId xmlns:a16="http://schemas.microsoft.com/office/drawing/2014/main" id="{C4AC57A0-F027-43C7-8631-360431DFA93A}"/>
            </a:ext>
          </a:extLst>
        </xdr:cNvPr>
        <xdr:cNvSpPr/>
      </xdr:nvSpPr>
      <xdr:spPr>
        <a:xfrm>
          <a:off x="1164734" y="31248"/>
          <a:ext cx="11789266"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Travailler avec les</a:t>
          </a:r>
          <a:r>
            <a:rPr lang="fr-FR" sz="4800" b="0" i="1" cap="none" spc="0" baseline="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 feuilles</a:t>
          </a:r>
          <a:endPar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endParaRPr>
        </a:p>
      </xdr:txBody>
    </xdr:sp>
    <xdr:clientData/>
  </xdr:oneCellAnchor>
  <xdr:twoCellAnchor>
    <xdr:from>
      <xdr:col>0</xdr:col>
      <xdr:colOff>152399</xdr:colOff>
      <xdr:row>2</xdr:row>
      <xdr:rowOff>133349</xdr:rowOff>
    </xdr:from>
    <xdr:to>
      <xdr:col>11</xdr:col>
      <xdr:colOff>352424</xdr:colOff>
      <xdr:row>30</xdr:row>
      <xdr:rowOff>28574</xdr:rowOff>
    </xdr:to>
    <xdr:sp macro="" textlink="">
      <xdr:nvSpPr>
        <xdr:cNvPr id="6" name="Rectangle 5">
          <a:extLst>
            <a:ext uri="{FF2B5EF4-FFF2-40B4-BE49-F238E27FC236}">
              <a16:creationId xmlns:a16="http://schemas.microsoft.com/office/drawing/2014/main" id="{2AF6C5CE-ABE9-7E16-EDF2-F8028C61D3DB}"/>
            </a:ext>
          </a:extLst>
        </xdr:cNvPr>
        <xdr:cNvSpPr/>
      </xdr:nvSpPr>
      <xdr:spPr>
        <a:xfrm>
          <a:off x="152399" y="1162049"/>
          <a:ext cx="8582025" cy="522922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a:r>
            <a:rPr lang="en-US" sz="1400" b="0" i="0" baseline="0">
              <a:solidFill>
                <a:schemeClr val="dk1"/>
              </a:solidFill>
              <a:effectLst/>
              <a:latin typeface="Consolas" panose="020B0609020204030204" pitchFamily="49" charset="0"/>
              <a:ea typeface="+mn-ea"/>
              <a:cs typeface="+mn-cs"/>
            </a:rPr>
            <a:t>1'048'576 lignes x 16'384 colonnes (A – XFD)</a:t>
          </a:r>
        </a:p>
        <a:p>
          <a:pPr rtl="0"/>
          <a:endParaRPr lang="en-US" sz="1400">
            <a:effectLst/>
            <a:latin typeface="Consolas" panose="020B0609020204030204" pitchFamily="49" charset="0"/>
          </a:endParaRPr>
        </a:p>
        <a:p>
          <a:pPr rtl="0"/>
          <a:r>
            <a:rPr lang="en-US" sz="1400" b="0" i="0" baseline="0">
              <a:solidFill>
                <a:schemeClr val="dk1"/>
              </a:solidFill>
              <a:effectLst/>
              <a:latin typeface="Consolas" panose="020B0609020204030204" pitchFamily="49" charset="0"/>
              <a:ea typeface="+mn-ea"/>
              <a:cs typeface="+mn-cs"/>
            </a:rPr>
            <a:t>La plupart des opérations sont disponibles via un clic droit sur un des onglets.</a:t>
          </a:r>
        </a:p>
        <a:p>
          <a:pPr rtl="0"/>
          <a:endParaRPr lang="en-US" sz="1400" b="0" i="0" baseline="0">
            <a:solidFill>
              <a:schemeClr val="dk1"/>
            </a:solidFill>
            <a:effectLst/>
            <a:latin typeface="Consolas" panose="020B0609020204030204" pitchFamily="49" charset="0"/>
            <a:ea typeface="+mn-ea"/>
            <a:cs typeface="+mn-cs"/>
          </a:endParaRPr>
        </a:p>
        <a:p>
          <a:pPr rtl="0"/>
          <a:r>
            <a:rPr lang="en-US" sz="1400" b="1" i="0" baseline="0">
              <a:solidFill>
                <a:schemeClr val="dk1"/>
              </a:solidFill>
              <a:effectLst/>
              <a:latin typeface="Consolas" panose="020B0609020204030204" pitchFamily="49" charset="0"/>
              <a:ea typeface="+mn-ea"/>
              <a:cs typeface="+mn-cs"/>
            </a:rPr>
            <a:t>Insérer</a:t>
          </a:r>
          <a:r>
            <a:rPr lang="en-US" sz="1400" b="0" i="0" baseline="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a:t>
          </a:r>
          <a:r>
            <a:rPr lang="en-US" sz="1400" b="0" i="0" baseline="0">
              <a:solidFill>
                <a:schemeClr val="dk1"/>
              </a:solidFill>
              <a:effectLst/>
              <a:latin typeface="Consolas" panose="020B0609020204030204" pitchFamily="49" charset="0"/>
              <a:ea typeface="+mn-ea"/>
              <a:cs typeface="+mn-cs"/>
            </a:rPr>
            <a:t>une nouvelle feuille vierge</a:t>
          </a:r>
          <a:br>
            <a:rPr lang="en-US" sz="1400" b="0" i="0" baseline="0">
              <a:solidFill>
                <a:schemeClr val="dk1"/>
              </a:solidFill>
              <a:effectLst/>
              <a:latin typeface="Consolas" panose="020B0609020204030204" pitchFamily="49" charset="0"/>
              <a:ea typeface="+mn-ea"/>
              <a:cs typeface="+mn-cs"/>
            </a:rPr>
          </a:br>
          <a:endParaRPr lang="en-US" sz="1400" b="0" i="0" baseline="0">
            <a:solidFill>
              <a:schemeClr val="dk1"/>
            </a:solidFill>
            <a:effectLst/>
            <a:latin typeface="Consolas" panose="020B0609020204030204" pitchFamily="49" charset="0"/>
            <a:ea typeface="+mn-ea"/>
            <a:cs typeface="+mn-cs"/>
          </a:endParaRPr>
        </a:p>
        <a:p>
          <a:pPr rtl="0"/>
          <a:r>
            <a:rPr lang="en-US" sz="1400" b="1" i="0" baseline="0">
              <a:solidFill>
                <a:schemeClr val="dk1"/>
              </a:solidFill>
              <a:effectLst/>
              <a:latin typeface="Consolas" panose="020B0609020204030204" pitchFamily="49" charset="0"/>
              <a:ea typeface="+mn-ea"/>
              <a:cs typeface="+mn-cs"/>
            </a:rPr>
            <a:t>Supprimer</a:t>
          </a:r>
          <a:r>
            <a:rPr lang="en-US" sz="1400" b="0" i="0" baseline="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a:t>
          </a:r>
          <a:r>
            <a:rPr lang="en-US" sz="1400" b="0" i="0" baseline="0">
              <a:solidFill>
                <a:schemeClr val="dk1"/>
              </a:solidFill>
              <a:effectLst/>
              <a:latin typeface="Consolas" panose="020B0609020204030204" pitchFamily="49" charset="0"/>
              <a:ea typeface="+mn-ea"/>
              <a:cs typeface="+mn-cs"/>
            </a:rPr>
            <a:t>Supprime la feuille courante.</a:t>
          </a:r>
          <a:endParaRPr lang="en-US" sz="1400">
            <a:effectLst/>
            <a:latin typeface="Consolas" panose="020B0609020204030204" pitchFamily="49" charset="0"/>
          </a:endParaRPr>
        </a:p>
        <a:p>
          <a:pPr rtl="0"/>
          <a:endParaRPr lang="en-US" sz="1400" b="0" i="0" baseline="0">
            <a:solidFill>
              <a:schemeClr val="dk1"/>
            </a:solidFill>
            <a:effectLst/>
            <a:latin typeface="Consolas" panose="020B0609020204030204" pitchFamily="49" charset="0"/>
            <a:ea typeface="+mn-ea"/>
            <a:cs typeface="+mn-cs"/>
          </a:endParaRPr>
        </a:p>
        <a:p>
          <a:pPr rtl="0"/>
          <a:r>
            <a:rPr lang="en-US" sz="1400" b="1" i="0" baseline="0">
              <a:solidFill>
                <a:schemeClr val="dk1"/>
              </a:solidFill>
              <a:effectLst/>
              <a:latin typeface="Consolas" panose="020B0609020204030204" pitchFamily="49" charset="0"/>
              <a:ea typeface="+mn-ea"/>
              <a:cs typeface="+mn-cs"/>
            </a:rPr>
            <a:t>Déplacer ou copier</a:t>
          </a:r>
        </a:p>
        <a:p>
          <a:pPr rtl="0"/>
          <a:r>
            <a:rPr lang="en-US" sz="1400" b="0" i="0" baseline="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a:t>
          </a:r>
          <a:r>
            <a:rPr kumimoji="0" lang="fr-CH" sz="14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sym typeface="Wingdings" panose="05000000000000000000" pitchFamily="2" charset="2"/>
            </a:rPr>
            <a:t>Déplacer une feuille (organiser votre liste de feuilles).</a:t>
          </a:r>
          <a:br>
            <a:rPr kumimoji="0" lang="fr-CH" sz="14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sym typeface="Wingdings" panose="05000000000000000000" pitchFamily="2" charset="2"/>
            </a:rPr>
          </a:br>
          <a:r>
            <a:rPr kumimoji="0" lang="fr-CH" sz="1400" b="0"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a:t>
          </a:r>
          <a:r>
            <a:rPr lang="en-US" sz="1400" b="0" i="0" baseline="0">
              <a:solidFill>
                <a:schemeClr val="dk1"/>
              </a:solidFill>
              <a:effectLst/>
              <a:latin typeface="Consolas" panose="020B0609020204030204" pitchFamily="49" charset="0"/>
              <a:ea typeface="+mn-ea"/>
              <a:cs typeface="+mn-cs"/>
            </a:rPr>
            <a:t> Copier une feuille dans le classeur / un nouveau classeur.</a:t>
          </a:r>
        </a:p>
        <a:p>
          <a:pPr rtl="0"/>
          <a:endParaRPr lang="en-US" sz="1400" b="0" i="0" baseline="0">
            <a:solidFill>
              <a:schemeClr val="dk1"/>
            </a:solidFill>
            <a:effectLst/>
            <a:latin typeface="Consolas" panose="020B0609020204030204" pitchFamily="49" charset="0"/>
            <a:ea typeface="+mn-ea"/>
            <a:cs typeface="+mn-cs"/>
          </a:endParaRPr>
        </a:p>
        <a:p>
          <a:pPr rtl="0"/>
          <a:r>
            <a:rPr lang="en-US" sz="1400" b="1" i="0" baseline="0">
              <a:solidFill>
                <a:schemeClr val="dk1"/>
              </a:solidFill>
              <a:effectLst/>
              <a:latin typeface="Consolas" panose="020B0609020204030204" pitchFamily="49" charset="0"/>
              <a:ea typeface="+mn-ea"/>
              <a:cs typeface="+mn-cs"/>
            </a:rPr>
            <a:t>Couleur d'onglet </a:t>
          </a:r>
          <a:r>
            <a:rPr lang="fr-CH" sz="1400" b="0" i="0" baseline="0">
              <a:solidFill>
                <a:schemeClr val="accent2">
                  <a:lumMod val="50000"/>
                </a:schemeClr>
              </a:solidFill>
              <a:effectLst/>
              <a:latin typeface="+mn-lt"/>
              <a:ea typeface="+mn-ea"/>
              <a:cs typeface="+mn-cs"/>
              <a:sym typeface="Wingdings" panose="05000000000000000000" pitchFamily="2" charset="2"/>
            </a:rPr>
            <a:t></a:t>
          </a:r>
          <a:r>
            <a:rPr lang="fr-CH" sz="1100" b="0" i="0" baseline="0">
              <a:solidFill>
                <a:schemeClr val="dk1"/>
              </a:solidFill>
              <a:effectLst/>
              <a:latin typeface="+mn-lt"/>
              <a:ea typeface="+mn-ea"/>
              <a:cs typeface="+mn-cs"/>
              <a:sym typeface="Wingdings" panose="05000000000000000000" pitchFamily="2" charset="2"/>
            </a:rPr>
            <a:t> </a:t>
          </a:r>
          <a:r>
            <a:rPr lang="en-US" sz="1400" b="0" i="0" baseline="0">
              <a:solidFill>
                <a:schemeClr val="dk1"/>
              </a:solidFill>
              <a:effectLst/>
              <a:latin typeface="Consolas" panose="020B0609020204030204" pitchFamily="49" charset="0"/>
              <a:ea typeface="+mn-ea"/>
              <a:cs typeface="+mn-cs"/>
            </a:rPr>
            <a:t>Modifiez la couleur d’arrière-plan d’un onglet de feuille.</a:t>
          </a:r>
          <a:endParaRPr lang="en-US" sz="1400">
            <a:effectLst/>
            <a:latin typeface="Consolas" panose="020B0609020204030204" pitchFamily="49" charset="0"/>
          </a:endParaRPr>
        </a:p>
        <a:p>
          <a:pPr rtl="0"/>
          <a:endParaRPr lang="en-US" sz="1400" b="0" i="0" baseline="0">
            <a:solidFill>
              <a:schemeClr val="dk1"/>
            </a:solidFill>
            <a:effectLst/>
            <a:latin typeface="Consolas" panose="020B0609020204030204" pitchFamily="49" charset="0"/>
            <a:ea typeface="+mn-ea"/>
            <a:cs typeface="+mn-cs"/>
          </a:endParaRPr>
        </a:p>
        <a:p>
          <a:pPr rtl="0"/>
          <a:r>
            <a:rPr lang="en-US" sz="1400" b="1" i="0" baseline="0">
              <a:solidFill>
                <a:schemeClr val="dk1"/>
              </a:solidFill>
              <a:effectLst/>
              <a:latin typeface="Consolas" panose="020B0609020204030204" pitchFamily="49" charset="0"/>
              <a:ea typeface="+mn-ea"/>
              <a:cs typeface="+mn-cs"/>
            </a:rPr>
            <a:t>Masquer</a:t>
          </a:r>
          <a:r>
            <a:rPr lang="en-US" sz="1400" b="0" i="0" baseline="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a:t>
          </a:r>
          <a:r>
            <a:rPr kumimoji="0" lang="fr-CH" sz="14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sym typeface="Wingdings" panose="05000000000000000000" pitchFamily="2" charset="2"/>
            </a:rPr>
            <a:t>Enlever la feuille de la liste (sans effacer)</a:t>
          </a:r>
          <a:r>
            <a:rPr lang="en-US" sz="1400" b="0" i="0" baseline="0">
              <a:solidFill>
                <a:sysClr val="windowText" lastClr="000000"/>
              </a:solidFill>
              <a:effectLst/>
              <a:latin typeface="Consolas" panose="020B0609020204030204" pitchFamily="49" charset="0"/>
              <a:ea typeface="+mn-ea"/>
              <a:cs typeface="+mn-cs"/>
            </a:rPr>
            <a:t>.</a:t>
          </a:r>
        </a:p>
        <a:p>
          <a:pPr rtl="0"/>
          <a:r>
            <a:rPr lang="en-US" sz="1400" b="1" i="0" baseline="0">
              <a:solidFill>
                <a:schemeClr val="dk1"/>
              </a:solidFill>
              <a:effectLst/>
              <a:latin typeface="Consolas" panose="020B0609020204030204" pitchFamily="49" charset="0"/>
              <a:ea typeface="+mn-ea"/>
              <a:cs typeface="+mn-cs"/>
            </a:rPr>
            <a:t>Afficher</a:t>
          </a:r>
          <a:r>
            <a:rPr lang="en-US" sz="1400" b="0" i="0" baseline="0">
              <a:solidFill>
                <a:schemeClr val="dk1"/>
              </a:solidFill>
              <a:effectLst/>
              <a:latin typeface="Consolas" panose="020B0609020204030204" pitchFamily="49" charset="0"/>
              <a:ea typeface="+mn-ea"/>
              <a:cs typeface="+mn-cs"/>
            </a:rPr>
            <a:t> </a:t>
          </a:r>
          <a:r>
            <a:rPr kumimoji="0" lang="fr-CH" sz="1400" b="0" i="0" u="none" strike="noStrike" kern="0" cap="none" spc="0" normalizeH="0" baseline="0" noProof="0">
              <a:ln>
                <a:noFill/>
              </a:ln>
              <a:solidFill>
                <a:srgbClr val="E97132">
                  <a:lumMod val="50000"/>
                </a:srgbClr>
              </a:solidFill>
              <a:effectLst/>
              <a:uLnTx/>
              <a:uFillTx/>
              <a:latin typeface="Consolas" panose="020B0609020204030204" pitchFamily="49" charset="0"/>
              <a:ea typeface="+mn-ea"/>
              <a:cs typeface="+mn-cs"/>
              <a:sym typeface="Wingdings" panose="05000000000000000000" pitchFamily="2" charset="2"/>
            </a:rPr>
            <a:t> </a:t>
          </a:r>
          <a:r>
            <a:rPr kumimoji="0" lang="fr-CH" sz="1400" b="0" i="0" u="none" strike="noStrike" kern="0" cap="none" spc="0" normalizeH="0" baseline="0" noProof="0">
              <a:ln>
                <a:noFill/>
              </a:ln>
              <a:solidFill>
                <a:sysClr val="windowText" lastClr="000000"/>
              </a:solidFill>
              <a:effectLst/>
              <a:uLnTx/>
              <a:uFillTx/>
              <a:latin typeface="Consolas" panose="020B0609020204030204" pitchFamily="49" charset="0"/>
              <a:ea typeface="+mn-ea"/>
              <a:cs typeface="+mn-cs"/>
              <a:sym typeface="Wingdings" panose="05000000000000000000" pitchFamily="2" charset="2"/>
            </a:rPr>
            <a:t>Rendre visible des feuilles masquées.</a:t>
          </a:r>
          <a:endParaRPr lang="en-US" sz="1400">
            <a:solidFill>
              <a:sysClr val="windowText" lastClr="000000"/>
            </a:solidFill>
            <a:effectLst/>
            <a:latin typeface="Consolas" panose="020B0609020204030204" pitchFamily="49" charset="0"/>
          </a:endParaRPr>
        </a:p>
        <a:p>
          <a:pPr rtl="0"/>
          <a:endParaRPr lang="en-US" sz="1400" b="0" i="0" baseline="0">
            <a:solidFill>
              <a:schemeClr val="dk1"/>
            </a:solidFill>
            <a:effectLst/>
            <a:latin typeface="Consolas" panose="020B0609020204030204" pitchFamily="49" charset="0"/>
            <a:ea typeface="+mn-ea"/>
            <a:cs typeface="+mn-cs"/>
          </a:endParaRPr>
        </a:p>
        <a:p>
          <a:pPr rtl="0"/>
          <a:r>
            <a:rPr lang="en-US" sz="1400" b="0" i="0" baseline="0">
              <a:solidFill>
                <a:schemeClr val="dk1"/>
              </a:solidFill>
              <a:effectLst/>
              <a:latin typeface="Consolas" panose="020B0609020204030204" pitchFamily="49" charset="0"/>
              <a:ea typeface="+mn-ea"/>
              <a:cs typeface="+mn-cs"/>
            </a:rPr>
            <a:t>Utilisez le menu de navigation des feuilles : clic droit au milieu des 2 flèches pour accéder au menu.</a:t>
          </a:r>
          <a:endParaRPr lang="en-US" sz="1400">
            <a:effectLst/>
            <a:latin typeface="Consolas" panose="020B0609020204030204" pitchFamily="49" charset="0"/>
          </a:endParaRPr>
        </a:p>
        <a:p>
          <a:pPr rtl="0"/>
          <a:endParaRPr lang="en-US" sz="1400" b="0" i="0" baseline="0">
            <a:solidFill>
              <a:schemeClr val="dk1"/>
            </a:solidFill>
            <a:effectLst/>
            <a:latin typeface="Consolas" panose="020B0609020204030204" pitchFamily="49" charset="0"/>
            <a:ea typeface="+mn-ea"/>
            <a:cs typeface="+mn-cs"/>
          </a:endParaRPr>
        </a:p>
        <a:p>
          <a:pPr rtl="0"/>
          <a:r>
            <a:rPr lang="en-US" sz="1400" b="0" i="0" baseline="0">
              <a:solidFill>
                <a:schemeClr val="dk1"/>
              </a:solidFill>
              <a:effectLst/>
              <a:latin typeface="Consolas" panose="020B0609020204030204" pitchFamily="49" charset="0"/>
              <a:ea typeface="+mn-ea"/>
              <a:cs typeface="+mn-cs"/>
            </a:rPr>
            <a:t>Insertion d’une image d’arrière-plan dans une feuille (Mise en page &gt; Arrière-plan)</a:t>
          </a:r>
          <a:endParaRPr lang="en-US" sz="1400">
            <a:effectLst/>
            <a:latin typeface="Consolas" panose="020B0609020204030204" pitchFamily="49" charset="0"/>
          </a:endParaRP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editAs="oneCell">
    <xdr:from>
      <xdr:col>11</xdr:col>
      <xdr:colOff>361951</xdr:colOff>
      <xdr:row>2</xdr:row>
      <xdr:rowOff>114299</xdr:rowOff>
    </xdr:from>
    <xdr:to>
      <xdr:col>15</xdr:col>
      <xdr:colOff>647701</xdr:colOff>
      <xdr:row>30</xdr:row>
      <xdr:rowOff>59992</xdr:rowOff>
    </xdr:to>
    <xdr:pic>
      <xdr:nvPicPr>
        <xdr:cNvPr id="8" name="Image 7">
          <a:extLst>
            <a:ext uri="{FF2B5EF4-FFF2-40B4-BE49-F238E27FC236}">
              <a16:creationId xmlns:a16="http://schemas.microsoft.com/office/drawing/2014/main" id="{2F307B07-3615-9BC5-8261-0F898125DC9F}"/>
            </a:ext>
          </a:extLst>
        </xdr:cNvPr>
        <xdr:cNvPicPr>
          <a:picLocks noChangeAspect="1"/>
        </xdr:cNvPicPr>
      </xdr:nvPicPr>
      <xdr:blipFill>
        <a:blip xmlns:r="http://schemas.openxmlformats.org/officeDocument/2006/relationships" r:embed="rId1"/>
        <a:stretch>
          <a:fillRect/>
        </a:stretch>
      </xdr:blipFill>
      <xdr:spPr>
        <a:xfrm>
          <a:off x="8743951" y="1142999"/>
          <a:ext cx="3333750" cy="5279693"/>
        </a:xfrm>
        <a:prstGeom prst="rect">
          <a:avLst/>
        </a:prstGeom>
      </xdr:spPr>
    </xdr:pic>
    <xdr:clientData/>
  </xdr:twoCellAnchor>
  <xdr:twoCellAnchor>
    <xdr:from>
      <xdr:col>16</xdr:col>
      <xdr:colOff>571500</xdr:colOff>
      <xdr:row>2</xdr:row>
      <xdr:rowOff>133349</xdr:rowOff>
    </xdr:from>
    <xdr:to>
      <xdr:col>22</xdr:col>
      <xdr:colOff>676275</xdr:colOff>
      <xdr:row>29</xdr:row>
      <xdr:rowOff>152399</xdr:rowOff>
    </xdr:to>
    <xdr:sp macro="" textlink="">
      <xdr:nvSpPr>
        <xdr:cNvPr id="9" name="Rectangle 8">
          <a:extLst>
            <a:ext uri="{FF2B5EF4-FFF2-40B4-BE49-F238E27FC236}">
              <a16:creationId xmlns:a16="http://schemas.microsoft.com/office/drawing/2014/main" id="{53F0A444-CFB6-45F0-8E89-26E10369B094}"/>
            </a:ext>
          </a:extLst>
        </xdr:cNvPr>
        <xdr:cNvSpPr/>
      </xdr:nvSpPr>
      <xdr:spPr>
        <a:xfrm>
          <a:off x="12763500" y="1162049"/>
          <a:ext cx="4676775" cy="516255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Dans le menu Affichage, cliquez sur </a:t>
          </a:r>
          <a:br>
            <a:rPr lang="en-US" sz="1400" b="0" i="0" u="none" strike="noStrike">
              <a:solidFill>
                <a:schemeClr val="dk1"/>
              </a:solidFill>
              <a:effectLst/>
              <a:latin typeface="Consolas" panose="020B0609020204030204" pitchFamily="49" charset="0"/>
              <a:ea typeface="+mn-ea"/>
              <a:cs typeface="+mn-cs"/>
            </a:rPr>
          </a:br>
          <a:endParaRPr lang="en-US" sz="1400" b="0"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Consolas" panose="020B0609020204030204" pitchFamily="49" charset="0"/>
              <a:ea typeface="+mn-ea"/>
              <a:cs typeface="+mn-cs"/>
            </a:rPr>
            <a:t>Affichage &gt; Figer les volets</a:t>
          </a:r>
          <a:r>
            <a:rPr lang="en-US" sz="1400" b="0" i="0" u="none" strike="noStrike">
              <a:solidFill>
                <a:schemeClr val="dk1"/>
              </a:solidFill>
              <a:effectLst/>
              <a:latin typeface="Consolas" panose="020B0609020204030204" pitchFamily="49" charset="0"/>
              <a:ea typeface="+mn-ea"/>
              <a:cs typeface="+mn-cs"/>
            </a:rPr>
            <a:t>. Ceci bloque le défilement</a:t>
          </a:r>
          <a:r>
            <a:rPr lang="en-US" sz="1400" b="0" i="0" u="none" strike="noStrike" baseline="0">
              <a:solidFill>
                <a:schemeClr val="dk1"/>
              </a:solidFill>
              <a:effectLst/>
              <a:latin typeface="Consolas" panose="020B0609020204030204" pitchFamily="49" charset="0"/>
              <a:ea typeface="+mn-ea"/>
              <a:cs typeface="+mn-cs"/>
            </a:rPr>
            <a:t> à gauche et au-dessus de la cellule </a:t>
          </a:r>
          <a:r>
            <a:rPr kumimoji="0" lang="en-US"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sélectionnée au moment du blocage.​</a:t>
          </a:r>
          <a:r>
            <a:rPr lang="en-US" sz="1400" b="0" i="0" u="none" strike="noStrike" baseline="0">
              <a:solidFill>
                <a:schemeClr val="dk1"/>
              </a:solidFill>
              <a:effectLst/>
              <a:latin typeface="Consolas" panose="020B0609020204030204" pitchFamily="49" charset="0"/>
              <a:ea typeface="+mn-ea"/>
              <a:cs typeface="+mn-cs"/>
            </a:rPr>
            <a:t> sélectionnée.</a:t>
          </a:r>
          <a:r>
            <a:rPr lang="en-US" sz="1400" b="0" i="0" u="none" strike="noStrike">
              <a:solidFill>
                <a:schemeClr val="dk1"/>
              </a:solidFill>
              <a:effectLst/>
              <a:latin typeface="Consolas" panose="020B0609020204030204" pitchFamily="49" charset="0"/>
              <a:ea typeface="+mn-ea"/>
              <a:cs typeface="+mn-cs"/>
            </a:rPr>
            <a:t> Vous pouvez ainsi</a:t>
          </a:r>
          <a:r>
            <a:rPr lang="en-US" sz="1400" b="0" i="0" u="none" strike="noStrike" baseline="0">
              <a:solidFill>
                <a:schemeClr val="dk1"/>
              </a:solidFill>
              <a:effectLst/>
              <a:latin typeface="Consolas" panose="020B0609020204030204" pitchFamily="49" charset="0"/>
              <a:ea typeface="+mn-ea"/>
              <a:cs typeface="+mn-cs"/>
            </a:rPr>
            <a:t> </a:t>
          </a:r>
          <a:r>
            <a:rPr lang="en-US" sz="1400" b="0" i="0" u="none" strike="noStrike">
              <a:solidFill>
                <a:schemeClr val="dk1"/>
              </a:solidFill>
              <a:effectLst/>
              <a:latin typeface="Consolas" panose="020B0609020204030204" pitchFamily="49" charset="0"/>
              <a:ea typeface="+mn-ea"/>
              <a:cs typeface="+mn-cs"/>
            </a:rPr>
            <a:t>naviguer dans le reste des données</a:t>
          </a:r>
          <a:r>
            <a:rPr lang="en-US" sz="1400" b="0" i="0" u="none" strike="noStrike" baseline="0">
              <a:solidFill>
                <a:schemeClr val="dk1"/>
              </a:solidFill>
              <a:effectLst/>
              <a:latin typeface="Consolas" panose="020B0609020204030204" pitchFamily="49" charset="0"/>
              <a:ea typeface="+mn-ea"/>
              <a:cs typeface="+mn-cs"/>
            </a:rPr>
            <a:t> en figeant certaines lignes et lcolonnes. </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u="none" strike="noStrike" baseline="0">
              <a:solidFill>
                <a:schemeClr val="dk1"/>
              </a:solidFill>
              <a:effectLst/>
              <a:latin typeface="Consolas" panose="020B0609020204030204" pitchFamily="49" charset="0"/>
              <a:ea typeface="+mn-ea"/>
              <a:cs typeface="+mn-cs"/>
            </a:rPr>
            <a:t>Affichage &gt; Fractionner</a:t>
          </a:r>
          <a:r>
            <a:rPr lang="en-US" sz="1400" b="0" i="0" u="none" strike="noStrike" baseline="0">
              <a:solidFill>
                <a:schemeClr val="dk1"/>
              </a:solidFill>
              <a:effectLst/>
              <a:latin typeface="Consolas" panose="020B0609020204030204" pitchFamily="49" charset="0"/>
              <a:ea typeface="+mn-ea"/>
              <a:cs typeface="+mn-cs"/>
            </a:rPr>
            <a:t> </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permet de diviser</a:t>
          </a:r>
          <a:r>
            <a:rPr lang="en-US" sz="1400" b="0" i="0" u="none" strike="noStrike">
              <a:solidFill>
                <a:schemeClr val="dk1"/>
              </a:solidFill>
              <a:effectLst/>
              <a:latin typeface="Consolas" panose="020B0609020204030204" pitchFamily="49" charset="0"/>
              <a:ea typeface="+mn-ea"/>
              <a:cs typeface="+mn-cs"/>
            </a:rPr>
            <a:t> votre écran en 2 ou 4 parties indépendantes que vous pouvez naviguer séparément.</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dk1"/>
              </a:solidFill>
              <a:effectLst/>
              <a:latin typeface="Consolas" panose="020B0609020204030204" pitchFamily="49" charset="0"/>
              <a:ea typeface="+mn-ea"/>
              <a:cs typeface="+mn-cs"/>
            </a:rPr>
            <a:t>Affichage</a:t>
          </a:r>
          <a:r>
            <a:rPr lang="en-US" sz="1400" b="1" i="0" u="none" strike="noStrike" baseline="0">
              <a:solidFill>
                <a:schemeClr val="dk1"/>
              </a:solidFill>
              <a:effectLst/>
              <a:latin typeface="Consolas" panose="020B0609020204030204" pitchFamily="49" charset="0"/>
              <a:ea typeface="+mn-ea"/>
              <a:cs typeface="+mn-cs"/>
            </a:rPr>
            <a:t> &gt; Nouvelle fenêtre</a:t>
          </a:r>
        </a:p>
        <a:p>
          <a:pPr marL="0" marR="0" lvl="0" indent="0" algn="l"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Duplique le classeur et permet d'afficher</a:t>
          </a:r>
          <a:r>
            <a:rPr lang="en-US" sz="1400" b="0" i="0" u="none" strike="noStrike" baseline="0">
              <a:solidFill>
                <a:schemeClr val="dk1"/>
              </a:solidFill>
              <a:effectLst/>
              <a:latin typeface="Consolas" panose="020B0609020204030204" pitchFamily="49" charset="0"/>
              <a:ea typeface="+mn-ea"/>
              <a:cs typeface="+mn-cs"/>
            </a:rPr>
            <a:t> les deux vues du même classeur côte à côte avec un défilement synchrone (pratique pour faire défiler et comparer des feuilles différentes du même classeur).</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133350</xdr:colOff>
      <xdr:row>2</xdr:row>
      <xdr:rowOff>123826</xdr:rowOff>
    </xdr:from>
    <xdr:to>
      <xdr:col>2</xdr:col>
      <xdr:colOff>485775</xdr:colOff>
      <xdr:row>9</xdr:row>
      <xdr:rowOff>152400</xdr:rowOff>
    </xdr:to>
    <xdr:sp macro="" textlink="">
      <xdr:nvSpPr>
        <xdr:cNvPr id="2" name="ZoneTexte 1">
          <a:extLst>
            <a:ext uri="{FF2B5EF4-FFF2-40B4-BE49-F238E27FC236}">
              <a16:creationId xmlns:a16="http://schemas.microsoft.com/office/drawing/2014/main" id="{117D8BEA-E166-4B1E-89FE-121D83769283}"/>
            </a:ext>
          </a:extLst>
        </xdr:cNvPr>
        <xdr:cNvSpPr txBox="1"/>
      </xdr:nvSpPr>
      <xdr:spPr>
        <a:xfrm>
          <a:off x="133350" y="1152526"/>
          <a:ext cx="6457950" cy="13620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Trier un bloc de données: </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Cliquez dans une colonne de données puis cliquez</a:t>
          </a:r>
          <a:r>
            <a:rPr lang="en-US" sz="1400" b="0" i="0" u="none" strike="noStrike" baseline="0">
              <a:solidFill>
                <a:schemeClr val="dk1"/>
              </a:solidFill>
              <a:effectLst/>
              <a:latin typeface="Consolas" panose="020B0609020204030204" pitchFamily="49" charset="0"/>
              <a:ea typeface="+mn-ea"/>
              <a:cs typeface="+mn-cs"/>
            </a:rPr>
            <a:t> sur </a:t>
          </a:r>
          <a:r>
            <a:rPr lang="en-US" sz="1400" b="1" i="0" u="none" strike="noStrike" baseline="0">
              <a:solidFill>
                <a:schemeClr val="accent2">
                  <a:lumMod val="50000"/>
                </a:schemeClr>
              </a:solidFill>
              <a:effectLst/>
              <a:latin typeface="Consolas" panose="020B0609020204030204" pitchFamily="49" charset="0"/>
              <a:ea typeface="+mn-ea"/>
              <a:cs typeface="+mn-cs"/>
            </a:rPr>
            <a:t>Accueil &gt; Trier et filtrer &gt; Trier du plus petit au plus grand</a:t>
          </a:r>
          <a:r>
            <a:rPr lang="en-US" sz="1400" b="0" i="0" u="none" strike="noStrike" baseline="0">
              <a:solidFill>
                <a:schemeClr val="dk1"/>
              </a:solidFill>
              <a:effectLst/>
              <a:latin typeface="Consolas" panose="020B0609020204030204" pitchFamily="49" charset="0"/>
              <a:ea typeface="+mn-ea"/>
              <a:cs typeface="+mn-cs"/>
            </a:rPr>
            <a:t>.</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Aussi disponible sous </a:t>
          </a:r>
          <a:r>
            <a:rPr lang="en-US" sz="1400" b="0" i="0" u="none" strike="noStrike" baseline="0">
              <a:solidFill>
                <a:schemeClr val="accent2">
                  <a:lumMod val="50000"/>
                </a:schemeClr>
              </a:solidFill>
              <a:effectLst/>
              <a:latin typeface="Consolas" panose="020B0609020204030204" pitchFamily="49" charset="0"/>
              <a:ea typeface="+mn-ea"/>
              <a:cs typeface="+mn-cs"/>
            </a:rPr>
            <a:t>Données &gt; Trier</a:t>
          </a:r>
          <a:br>
            <a:rPr lang="en-US" sz="1400" b="0" i="0" u="none" strike="noStrike">
              <a:solidFill>
                <a:schemeClr val="dk1"/>
              </a:solidFill>
              <a:effectLst/>
              <a:latin typeface="Consolas" panose="020B0609020204030204" pitchFamily="49" charset="0"/>
              <a:ea typeface="+mn-ea"/>
              <a:cs typeface="+mn-cs"/>
            </a:rPr>
          </a:b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0</xdr:col>
      <xdr:colOff>161925</xdr:colOff>
      <xdr:row>12</xdr:row>
      <xdr:rowOff>66676</xdr:rowOff>
    </xdr:from>
    <xdr:to>
      <xdr:col>2</xdr:col>
      <xdr:colOff>514350</xdr:colOff>
      <xdr:row>19</xdr:row>
      <xdr:rowOff>180976</xdr:rowOff>
    </xdr:to>
    <xdr:sp macro="" textlink="">
      <xdr:nvSpPr>
        <xdr:cNvPr id="3" name="ZoneTexte 2">
          <a:extLst>
            <a:ext uri="{FF2B5EF4-FFF2-40B4-BE49-F238E27FC236}">
              <a16:creationId xmlns:a16="http://schemas.microsoft.com/office/drawing/2014/main" id="{52BB76E9-A675-4295-BF46-C3C0FDEDC292}"/>
            </a:ext>
          </a:extLst>
        </xdr:cNvPr>
        <xdr:cNvSpPr txBox="1"/>
      </xdr:nvSpPr>
      <xdr:spPr>
        <a:xfrm>
          <a:off x="161925" y="3000376"/>
          <a:ext cx="6457950" cy="144780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Tri</a:t>
          </a:r>
          <a:r>
            <a:rPr lang="fr-CH" sz="1400" b="1" i="0" u="none" strike="noStrike" baseline="0">
              <a:solidFill>
                <a:schemeClr val="dk1"/>
              </a:solidFill>
              <a:effectLst/>
              <a:latin typeface="Consolas" panose="020B0609020204030204" pitchFamily="49" charset="0"/>
              <a:ea typeface="+mn-ea"/>
              <a:cs typeface="+mn-cs"/>
            </a:rPr>
            <a:t> multi-niveaux</a:t>
          </a:r>
          <a:r>
            <a:rPr lang="fr-CH" sz="1400" b="0" i="0" u="none" strike="noStrike">
              <a:solidFill>
                <a:schemeClr val="dk1"/>
              </a:solidFill>
              <a:effectLst/>
              <a:latin typeface="Consolas" panose="020B0609020204030204" pitchFamily="49" charset="0"/>
              <a:ea typeface="+mn-ea"/>
              <a:cs typeface="+mn-cs"/>
            </a:rPr>
            <a:t>: </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Lors d'un tri, il est possible que la même valeur soit répétée sur</a:t>
          </a:r>
          <a:r>
            <a:rPr lang="en-US" sz="1400" b="0" i="0" u="none" strike="noStrike" baseline="0">
              <a:solidFill>
                <a:schemeClr val="dk1"/>
              </a:solidFill>
              <a:effectLst/>
              <a:latin typeface="Consolas" panose="020B0609020204030204" pitchFamily="49" charset="0"/>
              <a:ea typeface="+mn-ea"/>
              <a:cs typeface="+mn-cs"/>
            </a:rPr>
            <a:t> de nombreuses lignes. On peut alors définir un 2e ordre de tri à l'intérieur de ces blocs issu du 1er tri.</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Cliquez sur une cellule des données à trier puis cliquez sur </a:t>
          </a:r>
          <a:r>
            <a:rPr kumimoji="0" lang="en-US" sz="1400" b="1" i="0" u="none" strike="noStrike" kern="0" cap="none" spc="0" normalizeH="0" baseline="0" noProof="0">
              <a:ln>
                <a:noFill/>
              </a:ln>
              <a:solidFill>
                <a:schemeClr val="accent2">
                  <a:lumMod val="50000"/>
                </a:schemeClr>
              </a:solidFill>
              <a:effectLst/>
              <a:uLnTx/>
              <a:uFillTx/>
              <a:latin typeface="Consolas" panose="020B0609020204030204" pitchFamily="49" charset="0"/>
              <a:ea typeface="+mn-ea"/>
              <a:cs typeface="+mn-cs"/>
            </a:rPr>
            <a:t>Accueil &gt; Trier et filtrer &gt; Tri personnalisé</a:t>
          </a:r>
          <a:r>
            <a:rPr kumimoji="0" lang="en-US"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oneCellAnchor>
    <xdr:from>
      <xdr:col>0</xdr:col>
      <xdr:colOff>1271835</xdr:colOff>
      <xdr:row>0</xdr:row>
      <xdr:rowOff>78873</xdr:rowOff>
    </xdr:from>
    <xdr:ext cx="4562917" cy="843757"/>
    <xdr:sp macro="" textlink="">
      <xdr:nvSpPr>
        <xdr:cNvPr id="6" name="Rectangle 5">
          <a:extLst>
            <a:ext uri="{FF2B5EF4-FFF2-40B4-BE49-F238E27FC236}">
              <a16:creationId xmlns:a16="http://schemas.microsoft.com/office/drawing/2014/main" id="{41EAAB96-37CF-470B-AB6C-BEDCFD5501A0}"/>
            </a:ext>
          </a:extLst>
        </xdr:cNvPr>
        <xdr:cNvSpPr/>
      </xdr:nvSpPr>
      <xdr:spPr>
        <a:xfrm>
          <a:off x="1271835" y="78873"/>
          <a:ext cx="4562917" cy="843757"/>
        </a:xfrm>
        <a:prstGeom prst="rect">
          <a:avLst/>
        </a:prstGeom>
        <a:noFill/>
      </xdr:spPr>
      <xdr:txBody>
        <a:bodyPr wrap="none" lIns="91440" tIns="45720" rIns="91440" bIns="45720">
          <a:spAutoFit/>
        </a:bodyPr>
        <a:lstStyle/>
        <a:p>
          <a:pPr algn="ct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Trier des données</a:t>
          </a:r>
        </a:p>
      </xdr:txBody>
    </xdr:sp>
    <xdr:clientData/>
  </xdr:oneCellAnchor>
  <xdr:twoCellAnchor editAs="oneCell">
    <xdr:from>
      <xdr:col>0</xdr:col>
      <xdr:colOff>161926</xdr:colOff>
      <xdr:row>21</xdr:row>
      <xdr:rowOff>57150</xdr:rowOff>
    </xdr:from>
    <xdr:to>
      <xdr:col>2</xdr:col>
      <xdr:colOff>596307</xdr:colOff>
      <xdr:row>33</xdr:row>
      <xdr:rowOff>95249</xdr:rowOff>
    </xdr:to>
    <xdr:pic>
      <xdr:nvPicPr>
        <xdr:cNvPr id="8" name="Image 7">
          <a:extLst>
            <a:ext uri="{FF2B5EF4-FFF2-40B4-BE49-F238E27FC236}">
              <a16:creationId xmlns:a16="http://schemas.microsoft.com/office/drawing/2014/main" id="{5AAC8462-FE90-378F-38F9-13F2494F07ED}"/>
            </a:ext>
          </a:extLst>
        </xdr:cNvPr>
        <xdr:cNvPicPr>
          <a:picLocks noChangeAspect="1"/>
        </xdr:cNvPicPr>
      </xdr:nvPicPr>
      <xdr:blipFill>
        <a:blip xmlns:r="http://schemas.openxmlformats.org/officeDocument/2006/relationships" r:embed="rId1"/>
        <a:stretch>
          <a:fillRect/>
        </a:stretch>
      </xdr:blipFill>
      <xdr:spPr>
        <a:xfrm>
          <a:off x="161926" y="4705350"/>
          <a:ext cx="6539906" cy="232409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133350</xdr:colOff>
      <xdr:row>2</xdr:row>
      <xdr:rowOff>123826</xdr:rowOff>
    </xdr:from>
    <xdr:to>
      <xdr:col>2</xdr:col>
      <xdr:colOff>485775</xdr:colOff>
      <xdr:row>15</xdr:row>
      <xdr:rowOff>0</xdr:rowOff>
    </xdr:to>
    <xdr:sp macro="" textlink="">
      <xdr:nvSpPr>
        <xdr:cNvPr id="2" name="ZoneTexte 1">
          <a:extLst>
            <a:ext uri="{FF2B5EF4-FFF2-40B4-BE49-F238E27FC236}">
              <a16:creationId xmlns:a16="http://schemas.microsoft.com/office/drawing/2014/main" id="{56A9C719-8B8C-419A-BF23-DDBEEE5901A3}"/>
            </a:ext>
          </a:extLst>
        </xdr:cNvPr>
        <xdr:cNvSpPr txBox="1"/>
      </xdr:nvSpPr>
      <xdr:spPr>
        <a:xfrm>
          <a:off x="133350" y="1152526"/>
          <a:ext cx="6457950" cy="235267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Filtrer une table: </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a:solidFill>
                <a:schemeClr val="dk1"/>
              </a:solidFill>
              <a:effectLst/>
              <a:latin typeface="Consolas" panose="020B0609020204030204" pitchFamily="49" charset="0"/>
              <a:ea typeface="+mn-ea"/>
              <a:cs typeface="+mn-cs"/>
            </a:rPr>
            <a:t>Cliquez dans une colonne de données puis cliquez</a:t>
          </a:r>
          <a:r>
            <a:rPr lang="en-US" sz="1400" b="0" i="0" u="none" strike="noStrike" baseline="0">
              <a:solidFill>
                <a:schemeClr val="dk1"/>
              </a:solidFill>
              <a:effectLst/>
              <a:latin typeface="Consolas" panose="020B0609020204030204" pitchFamily="49" charset="0"/>
              <a:ea typeface="+mn-ea"/>
              <a:cs typeface="+mn-cs"/>
            </a:rPr>
            <a:t> sur </a:t>
          </a:r>
          <a:r>
            <a:rPr lang="en-US" sz="1400" b="1" i="0" u="none" strike="noStrike" baseline="0">
              <a:solidFill>
                <a:schemeClr val="accent2">
                  <a:lumMod val="50000"/>
                </a:schemeClr>
              </a:solidFill>
              <a:effectLst/>
              <a:latin typeface="Consolas" panose="020B0609020204030204" pitchFamily="49" charset="0"/>
              <a:ea typeface="+mn-ea"/>
              <a:cs typeface="+mn-cs"/>
            </a:rPr>
            <a:t>Accueil &gt; Trier et filtrer &gt; Filtrer</a:t>
          </a:r>
          <a:r>
            <a:rPr lang="en-US" sz="1400" b="0" i="0" u="none" strike="noStrike" baseline="0">
              <a:solidFill>
                <a:schemeClr val="dk1"/>
              </a:solidFill>
              <a:effectLst/>
              <a:latin typeface="Consolas" panose="020B0609020204030204" pitchFamily="49" charset="0"/>
              <a:ea typeface="+mn-ea"/>
              <a:cs typeface="+mn-cs"/>
            </a:rPr>
            <a:t> (CTRL + MAJ + L).</a:t>
          </a:r>
          <a:br>
            <a:rPr lang="en-US" sz="1400" b="0" i="0" u="none" strike="noStrike">
              <a:solidFill>
                <a:schemeClr val="dk1"/>
              </a:solidFill>
              <a:effectLst/>
              <a:latin typeface="Consolas" panose="020B0609020204030204" pitchFamily="49" charset="0"/>
              <a:ea typeface="+mn-ea"/>
              <a:cs typeface="+mn-cs"/>
            </a:rPr>
          </a:br>
          <a:r>
            <a:rPr lang="en-US" sz="1400" b="0" i="0" u="none" strike="noStrike">
              <a:solidFill>
                <a:schemeClr val="dk1"/>
              </a:solidFill>
              <a:effectLst/>
              <a:latin typeface="Consolas" panose="020B0609020204030204" pitchFamily="49" charset="0"/>
              <a:ea typeface="+mn-ea"/>
              <a:cs typeface="+mn-cs"/>
            </a:rPr>
            <a:t>Ceci active les icônes</a:t>
          </a:r>
          <a:r>
            <a:rPr lang="en-US" sz="1400" b="0" i="0" u="none" strike="noStrike" baseline="0">
              <a:solidFill>
                <a:schemeClr val="dk1"/>
              </a:solidFill>
              <a:effectLst/>
              <a:latin typeface="Consolas" panose="020B0609020204030204" pitchFamily="49" charset="0"/>
              <a:ea typeface="+mn-ea"/>
              <a:cs typeface="+mn-cs"/>
            </a:rPr>
            <a:t> de filtre et de tri dans chaque cellule d'en-tête de la table.</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Cliquez sur une de ces icônes pour filtrer les lignes de la table, p. ex. sélectionnez quelques valeurs de la colonne NOCID.</a:t>
          </a:r>
          <a:br>
            <a:rPr lang="en-US" sz="1400" b="0" i="0" u="none" strike="noStrike" baseline="0">
              <a:solidFill>
                <a:schemeClr val="dk1"/>
              </a:solidFill>
              <a:effectLst/>
              <a:latin typeface="Consolas" panose="020B0609020204030204" pitchFamily="49" charset="0"/>
              <a:ea typeface="+mn-ea"/>
              <a:cs typeface="+mn-cs"/>
            </a:rPr>
          </a:br>
          <a:r>
            <a:rPr lang="en-US" sz="1400" b="0" i="0" u="none" strike="noStrike" baseline="0">
              <a:solidFill>
                <a:schemeClr val="dk1"/>
              </a:solidFill>
              <a:effectLst/>
              <a:latin typeface="Consolas" panose="020B0609020204030204" pitchFamily="49" charset="0"/>
              <a:ea typeface="+mn-ea"/>
              <a:cs typeface="+mn-cs"/>
            </a:rPr>
            <a:t>Répétez ensuite l'opération sur la colonne DisciplineID. Les filtres sont cumulatifs.</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Testez les options de filtres textuels, numériques et dates.</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twoCellAnchor>
    <xdr:from>
      <xdr:col>0</xdr:col>
      <xdr:colOff>180975</xdr:colOff>
      <xdr:row>22</xdr:row>
      <xdr:rowOff>180975</xdr:rowOff>
    </xdr:from>
    <xdr:to>
      <xdr:col>2</xdr:col>
      <xdr:colOff>533400</xdr:colOff>
      <xdr:row>32</xdr:row>
      <xdr:rowOff>133350</xdr:rowOff>
    </xdr:to>
    <xdr:sp macro="" textlink="">
      <xdr:nvSpPr>
        <xdr:cNvPr id="3" name="ZoneTexte 2">
          <a:extLst>
            <a:ext uri="{FF2B5EF4-FFF2-40B4-BE49-F238E27FC236}">
              <a16:creationId xmlns:a16="http://schemas.microsoft.com/office/drawing/2014/main" id="{A9A708AA-77DB-4F70-B90E-5CE10307E3EE}"/>
            </a:ext>
          </a:extLst>
        </xdr:cNvPr>
        <xdr:cNvSpPr txBox="1"/>
      </xdr:nvSpPr>
      <xdr:spPr>
        <a:xfrm>
          <a:off x="180975" y="5019675"/>
          <a:ext cx="6457950" cy="1857375"/>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Cette boîte de texte est</a:t>
          </a:r>
          <a:r>
            <a:rPr lang="fr-CH" sz="1400" b="0" i="0" u="none" strike="noStrike" baseline="0">
              <a:solidFill>
                <a:schemeClr val="dk1"/>
              </a:solidFill>
              <a:effectLst/>
              <a:latin typeface="Consolas" panose="020B0609020204030204" pitchFamily="49" charset="0"/>
              <a:ea typeface="+mn-ea"/>
              <a:cs typeface="+mn-cs"/>
            </a:rPr>
            <a:t> influencée par le filtre dans la table.</a:t>
          </a:r>
          <a:br>
            <a:rPr lang="fr-CH" sz="1400" b="0" i="0" u="none" strike="noStrike" baseline="0">
              <a:solidFill>
                <a:schemeClr val="dk1"/>
              </a:solidFill>
              <a:effectLst/>
              <a:latin typeface="Consolas" panose="020B0609020204030204" pitchFamily="49" charset="0"/>
              <a:ea typeface="+mn-ea"/>
              <a:cs typeface="+mn-cs"/>
            </a:rPr>
          </a:br>
          <a:endParaRPr lang="fr-CH"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baseline="0">
              <a:solidFill>
                <a:schemeClr val="dk1"/>
              </a:solidFill>
              <a:effectLst/>
              <a:latin typeface="Consolas" panose="020B0609020204030204" pitchFamily="49" charset="0"/>
              <a:ea typeface="+mn-ea"/>
              <a:cs typeface="+mn-cs"/>
            </a:rPr>
            <a:t>Pour la rendre insensible à ce comportement par défaut, clic droit sur la boîte, forme ou icône et choisissez </a:t>
          </a:r>
          <a:r>
            <a:rPr lang="fr-CH" sz="1400" b="1" i="0" u="none" strike="noStrike" baseline="0">
              <a:solidFill>
                <a:schemeClr val="accent2">
                  <a:lumMod val="50000"/>
                </a:schemeClr>
              </a:solidFill>
              <a:effectLst/>
              <a:latin typeface="Consolas" panose="020B0609020204030204" pitchFamily="49" charset="0"/>
              <a:ea typeface="+mn-ea"/>
              <a:cs typeface="+mn-cs"/>
            </a:rPr>
            <a:t>Taille et Propriétés &gt; Propriétés &gt; Ne pas déplacer ou dimensionner avec les cellules.</a:t>
          </a:r>
          <a:endParaRPr lang="en-US" sz="1400" b="1" i="0" u="none" strike="noStrike">
            <a:solidFill>
              <a:schemeClr val="accent2">
                <a:lumMod val="50000"/>
              </a:schemeClr>
            </a:solidFill>
            <a:effectLst/>
            <a:latin typeface="Consolas" panose="020B0609020204030204" pitchFamily="49" charset="0"/>
            <a:ea typeface="+mn-ea"/>
            <a:cs typeface="+mn-cs"/>
          </a:endParaRPr>
        </a:p>
      </xdr:txBody>
    </xdr:sp>
    <xdr:clientData/>
  </xdr:twoCellAnchor>
  <xdr:oneCellAnchor>
    <xdr:from>
      <xdr:col>0</xdr:col>
      <xdr:colOff>1106658</xdr:colOff>
      <xdr:row>0</xdr:row>
      <xdr:rowOff>78873</xdr:rowOff>
    </xdr:from>
    <xdr:ext cx="4893264" cy="843757"/>
    <xdr:sp macro="" textlink="">
      <xdr:nvSpPr>
        <xdr:cNvPr id="4" name="Rectangle 3">
          <a:extLst>
            <a:ext uri="{FF2B5EF4-FFF2-40B4-BE49-F238E27FC236}">
              <a16:creationId xmlns:a16="http://schemas.microsoft.com/office/drawing/2014/main" id="{6DBD373D-147F-46DF-915C-A79B94866CF8}"/>
            </a:ext>
          </a:extLst>
        </xdr:cNvPr>
        <xdr:cNvSpPr/>
      </xdr:nvSpPr>
      <xdr:spPr>
        <a:xfrm>
          <a:off x="1106658" y="78873"/>
          <a:ext cx="4893264" cy="843757"/>
        </a:xfrm>
        <a:prstGeom prst="rect">
          <a:avLst/>
        </a:prstGeom>
        <a:noFill/>
      </xdr:spPr>
      <xdr:txBody>
        <a:bodyPr wrap="none" lIns="91440" tIns="45720" rIns="91440" bIns="45720">
          <a:spAutoFit/>
        </a:bodyPr>
        <a:lstStyle/>
        <a:p>
          <a:pPr algn="ctr"/>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Filtrer des données</a:t>
          </a:r>
        </a:p>
      </xdr:txBody>
    </xdr:sp>
    <xdr:clientData/>
  </xdr:oneCellAnchor>
  <xdr:twoCellAnchor editAs="absolute">
    <xdr:from>
      <xdr:col>9</xdr:col>
      <xdr:colOff>285750</xdr:colOff>
      <xdr:row>3</xdr:row>
      <xdr:rowOff>47626</xdr:rowOff>
    </xdr:from>
    <xdr:to>
      <xdr:col>14</xdr:col>
      <xdr:colOff>638175</xdr:colOff>
      <xdr:row>10</xdr:row>
      <xdr:rowOff>28576</xdr:rowOff>
    </xdr:to>
    <xdr:sp macro="" textlink="">
      <xdr:nvSpPr>
        <xdr:cNvPr id="7" name="ZoneTexte 6">
          <a:extLst>
            <a:ext uri="{FF2B5EF4-FFF2-40B4-BE49-F238E27FC236}">
              <a16:creationId xmlns:a16="http://schemas.microsoft.com/office/drawing/2014/main" id="{9F04545A-F1E0-4A32-8CF4-C507BE13B035}"/>
            </a:ext>
          </a:extLst>
        </xdr:cNvPr>
        <xdr:cNvSpPr txBox="1"/>
      </xdr:nvSpPr>
      <xdr:spPr>
        <a:xfrm>
          <a:off x="12915900" y="1266826"/>
          <a:ext cx="4276725" cy="1314450"/>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0" i="0" u="none" strike="noStrike">
              <a:solidFill>
                <a:schemeClr val="dk1"/>
              </a:solidFill>
              <a:effectLst/>
              <a:latin typeface="Consolas" panose="020B0609020204030204" pitchFamily="49" charset="0"/>
              <a:ea typeface="+mn-ea"/>
              <a:cs typeface="+mn-cs"/>
            </a:rPr>
            <a:t>Depuis Office 365, il existe une alternative avec la fonction FILTRE pour obtenir facilement une copie des données filtrées sans modifier l'affichage</a:t>
          </a:r>
          <a:r>
            <a:rPr lang="fr-CH" sz="1400" b="0" i="0" u="none" strike="noStrike" baseline="0">
              <a:solidFill>
                <a:schemeClr val="dk1"/>
              </a:solidFill>
              <a:effectLst/>
              <a:latin typeface="Consolas" panose="020B0609020204030204" pitchFamily="49" charset="0"/>
              <a:ea typeface="+mn-ea"/>
              <a:cs typeface="+mn-cs"/>
            </a:rPr>
            <a:t> de la table initiale.</a:t>
          </a:r>
          <a:endParaRPr lang="en-US" sz="1400" b="1" i="0" u="none" strike="noStrike">
            <a:solidFill>
              <a:schemeClr val="accent2">
                <a:lumMod val="50000"/>
              </a:schemeClr>
            </a:solidFill>
            <a:effectLst/>
            <a:latin typeface="Consolas" panose="020B0609020204030204" pitchFamily="49" charset="0"/>
            <a:ea typeface="+mn-ea"/>
            <a:cs typeface="+mn-cs"/>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133350</xdr:colOff>
      <xdr:row>2</xdr:row>
      <xdr:rowOff>123826</xdr:rowOff>
    </xdr:from>
    <xdr:to>
      <xdr:col>2</xdr:col>
      <xdr:colOff>485775</xdr:colOff>
      <xdr:row>20</xdr:row>
      <xdr:rowOff>57150</xdr:rowOff>
    </xdr:to>
    <xdr:sp macro="" textlink="">
      <xdr:nvSpPr>
        <xdr:cNvPr id="2" name="ZoneTexte 1">
          <a:extLst>
            <a:ext uri="{FF2B5EF4-FFF2-40B4-BE49-F238E27FC236}">
              <a16:creationId xmlns:a16="http://schemas.microsoft.com/office/drawing/2014/main" id="{60BF0A87-885C-4886-A4D1-E7CF220CD5AF}"/>
            </a:ext>
          </a:extLst>
        </xdr:cNvPr>
        <xdr:cNvSpPr txBox="1"/>
      </xdr:nvSpPr>
      <xdr:spPr>
        <a:xfrm>
          <a:off x="133350" y="1152526"/>
          <a:ext cx="6457950" cy="3362324"/>
        </a:xfrm>
        <a:prstGeom prst="rect">
          <a:avLst/>
        </a:prstGeom>
        <a:solidFill>
          <a:schemeClr val="accent6">
            <a:lumMod val="20000"/>
            <a:lumOff val="80000"/>
          </a:schemeClr>
        </a:solidFill>
        <a:ln w="19050" cmpd="sng">
          <a:solidFill>
            <a:schemeClr val="accent1"/>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Rechercher une valeur:</a:t>
          </a:r>
        </a:p>
        <a:p>
          <a:pPr marL="0" marR="0" lvl="0" indent="0" defTabSz="914400" rtl="0" eaLnBrk="1" fontAlgn="auto" latinLnBrk="0" hangingPunct="1">
            <a:lnSpc>
              <a:spcPct val="100000"/>
            </a:lnSpc>
            <a:spcBef>
              <a:spcPts val="0"/>
            </a:spcBef>
            <a:spcAft>
              <a:spcPts val="0"/>
            </a:spcAft>
            <a:buClrTx/>
            <a:buSzTx/>
            <a:buFontTx/>
            <a:buNone/>
            <a:tabLst/>
            <a:defRPr/>
          </a:pPr>
          <a:r>
            <a:rPr lang="fr-CH" sz="1400" b="1" i="0" u="none" strike="noStrike">
              <a:solidFill>
                <a:schemeClr val="dk1"/>
              </a:solidFill>
              <a:effectLst/>
              <a:latin typeface="Consolas" panose="020B0609020204030204" pitchFamily="49" charset="0"/>
              <a:ea typeface="+mn-ea"/>
              <a:cs typeface="+mn-cs"/>
            </a:rPr>
            <a:t> </a:t>
          </a:r>
        </a:p>
        <a:p>
          <a:pPr marL="0" marR="0" lvl="0" indent="0" defTabSz="914400" rtl="0" eaLnBrk="1" fontAlgn="auto" latinLnBrk="0" hangingPunct="1">
            <a:lnSpc>
              <a:spcPct val="100000"/>
            </a:lnSpc>
            <a:spcBef>
              <a:spcPts val="0"/>
            </a:spcBef>
            <a:spcAft>
              <a:spcPts val="0"/>
            </a:spcAft>
            <a:buClrTx/>
            <a:buSzTx/>
            <a:buFontTx/>
            <a:buNone/>
            <a:tabLst/>
            <a:defRPr/>
          </a:pPr>
          <a:r>
            <a:rPr lang="en-US" sz="1400" b="1" i="0" u="none" strike="noStrike">
              <a:solidFill>
                <a:schemeClr val="accent2">
                  <a:lumMod val="50000"/>
                </a:schemeClr>
              </a:solidFill>
              <a:effectLst/>
              <a:latin typeface="Consolas" panose="020B0609020204030204" pitchFamily="49" charset="0"/>
              <a:ea typeface="+mn-ea"/>
              <a:cs typeface="+mn-cs"/>
            </a:rPr>
            <a:t>Accueil &gt; Rechercher et sélectionner &gt; Rechercher</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Recherchez </a:t>
          </a:r>
          <a:r>
            <a:rPr lang="en-US" sz="1400" b="0" i="0" u="none" strike="noStrike" baseline="0">
              <a:solidFill>
                <a:schemeClr val="dk1"/>
              </a:solidFill>
              <a:effectLst/>
              <a:latin typeface="Consolas" panose="020B0609020204030204" pitchFamily="49" charset="0"/>
              <a:ea typeface="+mn-ea"/>
              <a:cs typeface="+mn-cs"/>
            </a:rPr>
            <a:t>le texte 'OV' dans la table.</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kumimoji="0" lang="en-US" sz="1400" b="0" i="0" u="none" strike="noStrike" kern="0" cap="none" spc="0" normalizeH="0" baseline="0" noProof="0">
              <a:ln>
                <a:noFill/>
              </a:ln>
              <a:solidFill>
                <a:prstClr val="black"/>
              </a:solidFill>
              <a:effectLst/>
              <a:uLnTx/>
              <a:uFillTx/>
              <a:latin typeface="Consolas" panose="020B0609020204030204" pitchFamily="49" charset="0"/>
              <a:ea typeface="+mn-ea"/>
              <a:cs typeface="+mn-cs"/>
            </a:rPr>
            <a:t>Recherchez </a:t>
          </a:r>
          <a:r>
            <a:rPr lang="en-US" sz="1400" b="0" i="0" u="none" strike="noStrike" baseline="0">
              <a:solidFill>
                <a:schemeClr val="dk1"/>
              </a:solidFill>
              <a:effectLst/>
              <a:latin typeface="Consolas" panose="020B0609020204030204" pitchFamily="49" charset="0"/>
              <a:ea typeface="+mn-ea"/>
              <a:cs typeface="+mn-cs"/>
            </a:rPr>
            <a:t>2025 dans la colonne E et remplacer par 2024.</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Recherchez les cellules vides dans la colonne I et remplacer par 'Non disp.'.</a:t>
          </a:r>
        </a:p>
        <a:p>
          <a:pPr marL="0" marR="0" lvl="0" indent="0" defTabSz="914400" rtl="0" eaLnBrk="1" fontAlgn="auto" latinLnBrk="0" hangingPunct="1">
            <a:lnSpc>
              <a:spcPct val="100000"/>
            </a:lnSpc>
            <a:spcBef>
              <a:spcPts val="0"/>
            </a:spcBef>
            <a:spcAft>
              <a:spcPts val="0"/>
            </a:spcAft>
            <a:buClrTx/>
            <a:buSzTx/>
            <a:buFontTx/>
            <a:buNone/>
            <a:tabLst/>
            <a:defRPr/>
          </a:pPr>
          <a:endParaRPr lang="en-US" sz="1400" b="0" i="0" u="none" strike="noStrike" baseline="0">
            <a:solidFill>
              <a:schemeClr val="dk1"/>
            </a:solidFill>
            <a:effectLst/>
            <a:latin typeface="Consolas" panose="020B0609020204030204" pitchFamily="49" charset="0"/>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400" b="0" i="0" u="none" strike="noStrike" baseline="0">
              <a:solidFill>
                <a:schemeClr val="dk1"/>
              </a:solidFill>
              <a:effectLst/>
              <a:latin typeface="Consolas" panose="020B0609020204030204" pitchFamily="49" charset="0"/>
              <a:ea typeface="+mn-ea"/>
              <a:cs typeface="+mn-cs"/>
            </a:rPr>
            <a:t>Recherchez les cellules contenant une formule (</a:t>
          </a:r>
          <a:r>
            <a:rPr lang="en-US" sz="1400" b="1" i="0" u="none" strike="noStrike" baseline="0">
              <a:solidFill>
                <a:schemeClr val="accent2">
                  <a:lumMod val="50000"/>
                </a:schemeClr>
              </a:solidFill>
              <a:effectLst/>
              <a:latin typeface="Consolas" panose="020B0609020204030204" pitchFamily="49" charset="0"/>
              <a:ea typeface="+mn-ea"/>
              <a:cs typeface="+mn-cs"/>
            </a:rPr>
            <a:t>Accueil &gt; Rechercher et sélectionner &gt; Sélectionner les cellules &gt; Formules</a:t>
          </a:r>
          <a:r>
            <a:rPr lang="en-US" sz="1400" b="0" i="0" u="none" strike="noStrike" baseline="0">
              <a:solidFill>
                <a:schemeClr val="dk1"/>
              </a:solidFill>
              <a:effectLst/>
              <a:latin typeface="Consolas" panose="020B0609020204030204" pitchFamily="49" charset="0"/>
              <a:ea typeface="+mn-ea"/>
              <a:cs typeface="+mn-cs"/>
            </a:rPr>
            <a:t>).</a:t>
          </a:r>
          <a:endParaRPr lang="en-US" sz="1400" b="0" i="0" u="none" strike="noStrike">
            <a:solidFill>
              <a:schemeClr val="dk1"/>
            </a:solidFill>
            <a:effectLst/>
            <a:latin typeface="Consolas" panose="020B0609020204030204" pitchFamily="49" charset="0"/>
            <a:ea typeface="+mn-ea"/>
            <a:cs typeface="+mn-cs"/>
          </a:endParaRPr>
        </a:p>
      </xdr:txBody>
    </xdr:sp>
    <xdr:clientData/>
  </xdr:twoCellAnchor>
  <xdr:oneCellAnchor>
    <xdr:from>
      <xdr:col>0</xdr:col>
      <xdr:colOff>1104900</xdr:colOff>
      <xdr:row>0</xdr:row>
      <xdr:rowOff>59823</xdr:rowOff>
    </xdr:from>
    <xdr:ext cx="10525125" cy="843757"/>
    <xdr:sp macro="" textlink="">
      <xdr:nvSpPr>
        <xdr:cNvPr id="4" name="Rectangle 3">
          <a:extLst>
            <a:ext uri="{FF2B5EF4-FFF2-40B4-BE49-F238E27FC236}">
              <a16:creationId xmlns:a16="http://schemas.microsoft.com/office/drawing/2014/main" id="{C75C622E-3477-489F-867F-D51FF064B269}"/>
            </a:ext>
          </a:extLst>
        </xdr:cNvPr>
        <xdr:cNvSpPr/>
      </xdr:nvSpPr>
      <xdr:spPr>
        <a:xfrm>
          <a:off x="1104900" y="59823"/>
          <a:ext cx="10525125"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Rechercher / Remplacer des données</a:t>
          </a:r>
        </a:p>
      </xdr:txBody>
    </xdr:sp>
    <xdr:clientData/>
  </xdr:oneCellAnchor>
</xdr:wsDr>
</file>

<file path=xl/drawings/drawing13.xml><?xml version="1.0" encoding="utf-8"?>
<xdr:wsDr xmlns:xdr="http://schemas.openxmlformats.org/drawingml/2006/spreadsheetDrawing" xmlns:a="http://schemas.openxmlformats.org/drawingml/2006/main">
  <xdr:twoCellAnchor>
    <xdr:from>
      <xdr:col>13</xdr:col>
      <xdr:colOff>571501</xdr:colOff>
      <xdr:row>2</xdr:row>
      <xdr:rowOff>71437</xdr:rowOff>
    </xdr:from>
    <xdr:to>
      <xdr:col>23</xdr:col>
      <xdr:colOff>209550</xdr:colOff>
      <xdr:row>16</xdr:row>
      <xdr:rowOff>147637</xdr:rowOff>
    </xdr:to>
    <xdr:graphicFrame macro="">
      <xdr:nvGraphicFramePr>
        <xdr:cNvPr id="2" name="Graphique 1">
          <a:extLst>
            <a:ext uri="{FF2B5EF4-FFF2-40B4-BE49-F238E27FC236}">
              <a16:creationId xmlns:a16="http://schemas.microsoft.com/office/drawing/2014/main" id="{091957E5-11A0-999C-74B8-DA087986E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561975</xdr:colOff>
      <xdr:row>17</xdr:row>
      <xdr:rowOff>42862</xdr:rowOff>
    </xdr:from>
    <xdr:to>
      <xdr:col>23</xdr:col>
      <xdr:colOff>200025</xdr:colOff>
      <xdr:row>31</xdr:row>
      <xdr:rowOff>119062</xdr:rowOff>
    </xdr:to>
    <xdr:graphicFrame macro="">
      <xdr:nvGraphicFramePr>
        <xdr:cNvPr id="3" name="Graphique 2">
          <a:extLst>
            <a:ext uri="{FF2B5EF4-FFF2-40B4-BE49-F238E27FC236}">
              <a16:creationId xmlns:a16="http://schemas.microsoft.com/office/drawing/2014/main" id="{1299BF58-D956-CFE7-E613-95BF019A52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57150</xdr:colOff>
      <xdr:row>0</xdr:row>
      <xdr:rowOff>2673</xdr:rowOff>
    </xdr:from>
    <xdr:ext cx="13601700" cy="843757"/>
    <xdr:sp macro="" textlink="">
      <xdr:nvSpPr>
        <xdr:cNvPr id="4" name="Rectangle 3">
          <a:extLst>
            <a:ext uri="{FF2B5EF4-FFF2-40B4-BE49-F238E27FC236}">
              <a16:creationId xmlns:a16="http://schemas.microsoft.com/office/drawing/2014/main" id="{D6DE8D30-CD5F-41A1-9B3D-70F235947B0F}"/>
            </a:ext>
          </a:extLst>
        </xdr:cNvPr>
        <xdr:cNvSpPr/>
      </xdr:nvSpPr>
      <xdr:spPr>
        <a:xfrm>
          <a:off x="1333500" y="2673"/>
          <a:ext cx="13601700" cy="843757"/>
        </a:xfrm>
        <a:prstGeom prst="rect">
          <a:avLst/>
        </a:prstGeom>
        <a:noFill/>
      </xdr:spPr>
      <xdr:txBody>
        <a:bodyPr wrap="square" lIns="91440" tIns="45720" rIns="91440" bIns="45720">
          <a:spAutoFit/>
        </a:bodyPr>
        <a:lstStyle/>
        <a:p>
          <a:pPr algn="l"/>
          <a:r>
            <a:rPr lang="fr-FR" sz="4800" b="0" i="1" cap="none" spc="0">
              <a:ln w="0"/>
              <a:solidFill>
                <a:schemeClr val="bg1"/>
              </a:solidFill>
              <a:effectLst>
                <a:glow rad="101600">
                  <a:schemeClr val="accent6">
                    <a:satMod val="175000"/>
                    <a:alpha val="40000"/>
                  </a:schemeClr>
                </a:glow>
                <a:outerShdw blurRad="50800" dist="38100" dir="2700000" algn="tl" rotWithShape="0">
                  <a:prstClr val="black">
                    <a:alpha val="40000"/>
                  </a:prstClr>
                </a:outerShdw>
              </a:effectLst>
            </a:rPr>
            <a:t>Insérer un graphique depuis une table / un tableau</a:t>
          </a:r>
        </a:p>
      </xdr:txBody>
    </xdr:sp>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4</v>
  </rv>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547721-CDB7-42C4-AF25-EDA9014BC00E}" name="Tableau1" displayName="Tableau1" ref="H6:M20" totalsRowShown="0">
  <autoFilter ref="H6:M20" xr:uid="{B7547721-CDB7-42C4-AF25-EDA9014BC00E}"/>
  <tableColumns count="6">
    <tableColumn id="1" xr3:uid="{8B96AD50-5D01-4DD9-83A1-A65E993728C0}" name="Magasin"/>
    <tableColumn id="2" xr3:uid="{0BCC4D13-1125-4AB4-A709-787DE991588E}" name="jan"/>
    <tableColumn id="3" xr3:uid="{FE389EB0-E7B3-452D-A98F-75BB49779D20}" name="feb"/>
    <tableColumn id="4" xr3:uid="{0B8018BC-2D78-48C1-8DFA-C7CFD94C642D}" name="mar"/>
    <tableColumn id="5" xr3:uid="{ED3E339E-578F-4AA3-ABD9-51428AA33776}" name="TOTAL">
      <calculatedColumnFormula>SUM(I7:K7)</calculatedColumnFormula>
    </tableColumn>
    <tableColumn id="6" xr3:uid="{198B1618-65B7-450E-AD07-79EA89ABA93D}" name="TOTAL TTC" dataDxfId="2">
      <calculatedColumnFormula>'12. TABLEAU + GRAPHE'!L7*(1+tax10pc)</calculatedColumnFormula>
    </tableColumn>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8CE9C54-79C7-4186-A69A-CD4D85907F5F}" name="tbl_xlookup" displayName="tbl_xlookup" ref="A1:F24" totalsRowShown="0">
  <autoFilter ref="A1:F24" xr:uid="{A8CE9C54-79C7-4186-A69A-CD4D85907F5F}"/>
  <tableColumns count="6">
    <tableColumn id="6" xr3:uid="{A1148E3C-D4B0-4DE7-9FCE-554D0C3B4D43}" name="COUNTRY"/>
    <tableColumn id="1" xr3:uid="{7C3DD634-CEE5-4016-8131-A25FD9DD59A9}" name="jan"/>
    <tableColumn id="2" xr3:uid="{EADEE8D0-736B-4EB3-AB21-77CE205369F3}" name="feb"/>
    <tableColumn id="3" xr3:uid="{61307F26-DC85-45AC-BB01-D6617FCED97D}" name="mar"/>
    <tableColumn id="4" xr3:uid="{BD7B2022-8267-40D6-B22F-246C2D0AD9A4}" name="TOTAL" dataDxfId="1">
      <calculatedColumnFormula>SUM(B2:D2)</calculatedColumnFormula>
    </tableColumn>
    <tableColumn id="5" xr3:uid="{6304622E-4827-4350-A1C6-BFF9F437E0BB}" name="TOTAL TTC" dataDxfId="0">
      <calculatedColumnFormula>tbl_xlookup[[#This Row],[TOTAL]]*(1+_xlfn.XLOOKUP(tbl_xlookup[[#This Row],[COUNTRY]],Variables!$G$3:$G$8,Variables!$H$3:$H$8,,0))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2013 - 2022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DDC7902-3BF7-4210-8E4A-7CF0466432D9}">
  <we:reference id="wa200007447" version="1.0.0.0" store="fr-CH" storeType="OMEX"/>
  <we:alternateReferences>
    <we:reference id="wa200007447" version="1.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_xldudf_BOARDFLARE_RUNPY</we:customFunctionIds>
        <we:customFunctionIds>_xldudf_BOARDFLARE_EXEC</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CBE4E-BBE6-4916-A023-4C52161FD63A}">
  <sheetPr>
    <tabColor theme="6"/>
  </sheetPr>
  <dimension ref="A1:R732"/>
  <sheetViews>
    <sheetView workbookViewId="0"/>
  </sheetViews>
  <sheetFormatPr baseColWidth="10" defaultColWidth="11.42578125" defaultRowHeight="15" x14ac:dyDescent="0.25"/>
  <cols>
    <col min="1" max="1" width="17.42578125" style="20" customWidth="1"/>
    <col min="2" max="2" width="74.7109375" style="20" customWidth="1"/>
    <col min="3" max="3" width="9.7109375" style="20" customWidth="1"/>
    <col min="12" max="18" width="11.42578125" style="20"/>
  </cols>
  <sheetData>
    <row r="1" spans="1:15" s="21" customFormat="1" ht="73.5" customHeight="1" x14ac:dyDescent="0.25">
      <c r="A1" s="21" t="e" vm="1">
        <f>Variables!$A$1</f>
        <v>#VALUE!</v>
      </c>
      <c r="K1" s="51" t="s">
        <v>2036</v>
      </c>
      <c r="L1" s="51"/>
      <c r="M1" s="51"/>
      <c r="N1" s="51"/>
      <c r="O1" s="51"/>
    </row>
    <row r="2" spans="1:15" s="37" customFormat="1" ht="12.75" customHeight="1" x14ac:dyDescent="0.25"/>
    <row r="3" spans="1:15" x14ac:dyDescent="0.25">
      <c r="D3" t="s">
        <v>0</v>
      </c>
      <c r="E3" t="s">
        <v>1</v>
      </c>
      <c r="F3" t="s">
        <v>2</v>
      </c>
      <c r="G3" t="s">
        <v>3</v>
      </c>
      <c r="H3" t="s">
        <v>4</v>
      </c>
      <c r="I3" t="s">
        <v>5</v>
      </c>
      <c r="J3" t="s">
        <v>6</v>
      </c>
      <c r="K3" t="s">
        <v>7</v>
      </c>
    </row>
    <row r="4" spans="1:15" x14ac:dyDescent="0.25">
      <c r="D4">
        <v>1</v>
      </c>
      <c r="E4" t="s">
        <v>8</v>
      </c>
      <c r="F4" t="s">
        <v>9</v>
      </c>
      <c r="G4">
        <v>99</v>
      </c>
      <c r="H4" t="s">
        <v>10</v>
      </c>
      <c r="I4">
        <v>261</v>
      </c>
      <c r="J4" t="s">
        <v>11</v>
      </c>
      <c r="K4">
        <v>1539969</v>
      </c>
    </row>
    <row r="5" spans="1:15" x14ac:dyDescent="0.25">
      <c r="D5">
        <v>1</v>
      </c>
      <c r="E5" t="s">
        <v>12</v>
      </c>
      <c r="F5" t="s">
        <v>13</v>
      </c>
      <c r="G5">
        <v>171</v>
      </c>
      <c r="H5" t="s">
        <v>14</v>
      </c>
      <c r="I5">
        <v>259</v>
      </c>
      <c r="J5" t="s">
        <v>15</v>
      </c>
      <c r="K5">
        <v>1543549</v>
      </c>
    </row>
    <row r="6" spans="1:15" x14ac:dyDescent="0.25">
      <c r="D6">
        <v>1</v>
      </c>
      <c r="E6" t="s">
        <v>16</v>
      </c>
      <c r="F6" t="s">
        <v>17</v>
      </c>
      <c r="G6">
        <v>98</v>
      </c>
      <c r="H6" t="s">
        <v>18</v>
      </c>
      <c r="I6">
        <v>283</v>
      </c>
      <c r="J6" t="s">
        <v>19</v>
      </c>
      <c r="K6">
        <v>1536045</v>
      </c>
    </row>
    <row r="7" spans="1:15" x14ac:dyDescent="0.25">
      <c r="D7">
        <v>1</v>
      </c>
      <c r="E7" t="s">
        <v>20</v>
      </c>
      <c r="F7" t="s">
        <v>21</v>
      </c>
      <c r="G7">
        <v>122</v>
      </c>
      <c r="H7" t="s">
        <v>22</v>
      </c>
      <c r="I7">
        <v>45</v>
      </c>
      <c r="J7" t="s">
        <v>23</v>
      </c>
      <c r="K7">
        <v>1537325</v>
      </c>
    </row>
    <row r="8" spans="1:15" x14ac:dyDescent="0.25">
      <c r="D8">
        <v>1</v>
      </c>
      <c r="E8" t="s">
        <v>24</v>
      </c>
      <c r="F8" t="s">
        <v>25</v>
      </c>
      <c r="G8">
        <v>80</v>
      </c>
      <c r="H8" t="s">
        <v>26</v>
      </c>
      <c r="I8">
        <v>179</v>
      </c>
      <c r="J8" t="s">
        <v>27</v>
      </c>
      <c r="K8">
        <v>1548817</v>
      </c>
    </row>
    <row r="9" spans="1:15" x14ac:dyDescent="0.25">
      <c r="D9">
        <v>1</v>
      </c>
      <c r="E9" t="s">
        <v>24</v>
      </c>
      <c r="F9" t="s">
        <v>28</v>
      </c>
      <c r="G9">
        <v>72</v>
      </c>
      <c r="H9" t="s">
        <v>29</v>
      </c>
      <c r="I9">
        <v>295</v>
      </c>
      <c r="J9" t="s">
        <v>30</v>
      </c>
      <c r="K9">
        <v>1543963</v>
      </c>
    </row>
    <row r="10" spans="1:15" x14ac:dyDescent="0.25">
      <c r="D10">
        <v>1</v>
      </c>
      <c r="E10" t="s">
        <v>31</v>
      </c>
      <c r="F10" t="s">
        <v>32</v>
      </c>
      <c r="G10">
        <v>31</v>
      </c>
      <c r="H10" t="s">
        <v>33</v>
      </c>
      <c r="I10">
        <v>328</v>
      </c>
      <c r="J10" t="s">
        <v>34</v>
      </c>
      <c r="K10">
        <v>1540305</v>
      </c>
    </row>
    <row r="11" spans="1:15" x14ac:dyDescent="0.25">
      <c r="D11">
        <v>1</v>
      </c>
      <c r="E11" t="s">
        <v>35</v>
      </c>
      <c r="F11" t="s">
        <v>36</v>
      </c>
      <c r="G11">
        <v>5</v>
      </c>
      <c r="H11" t="s">
        <v>37</v>
      </c>
      <c r="I11">
        <v>92</v>
      </c>
      <c r="J11" t="s">
        <v>38</v>
      </c>
      <c r="K11">
        <v>1540353</v>
      </c>
    </row>
    <row r="12" spans="1:15" x14ac:dyDescent="0.25">
      <c r="D12">
        <v>1</v>
      </c>
      <c r="E12" t="s">
        <v>39</v>
      </c>
      <c r="F12" t="s">
        <v>40</v>
      </c>
      <c r="G12">
        <v>5</v>
      </c>
      <c r="H12" t="s">
        <v>41</v>
      </c>
      <c r="I12">
        <v>17</v>
      </c>
      <c r="J12" t="s">
        <v>42</v>
      </c>
      <c r="K12">
        <v>1545688</v>
      </c>
    </row>
    <row r="13" spans="1:15" x14ac:dyDescent="0.25">
      <c r="D13">
        <v>1</v>
      </c>
      <c r="E13" t="s">
        <v>43</v>
      </c>
      <c r="F13" t="s">
        <v>44</v>
      </c>
      <c r="G13">
        <v>104</v>
      </c>
      <c r="H13" t="s">
        <v>45</v>
      </c>
      <c r="I13">
        <v>18</v>
      </c>
      <c r="J13" t="s">
        <v>46</v>
      </c>
      <c r="K13">
        <v>1551061</v>
      </c>
    </row>
    <row r="14" spans="1:15" x14ac:dyDescent="0.25">
      <c r="D14">
        <v>1</v>
      </c>
      <c r="E14" t="s">
        <v>35</v>
      </c>
      <c r="F14" t="s">
        <v>47</v>
      </c>
      <c r="G14">
        <v>77</v>
      </c>
      <c r="H14" t="s">
        <v>48</v>
      </c>
      <c r="I14">
        <v>236</v>
      </c>
      <c r="J14" t="s">
        <v>49</v>
      </c>
      <c r="K14">
        <v>1544218</v>
      </c>
    </row>
    <row r="15" spans="1:15" x14ac:dyDescent="0.25">
      <c r="D15">
        <v>1</v>
      </c>
      <c r="E15" t="s">
        <v>50</v>
      </c>
      <c r="F15" t="s">
        <v>51</v>
      </c>
      <c r="G15">
        <v>98</v>
      </c>
      <c r="H15" t="s">
        <v>52</v>
      </c>
      <c r="I15">
        <v>316</v>
      </c>
      <c r="J15" t="s">
        <v>53</v>
      </c>
      <c r="K15">
        <v>1544897</v>
      </c>
    </row>
    <row r="16" spans="1:15" x14ac:dyDescent="0.25">
      <c r="D16">
        <v>1</v>
      </c>
      <c r="E16" t="s">
        <v>54</v>
      </c>
      <c r="F16" t="s">
        <v>55</v>
      </c>
      <c r="G16">
        <v>98</v>
      </c>
      <c r="H16" t="s">
        <v>56</v>
      </c>
      <c r="I16">
        <v>313</v>
      </c>
      <c r="J16" t="s">
        <v>57</v>
      </c>
      <c r="K16">
        <v>1544928</v>
      </c>
    </row>
    <row r="17" spans="4:11" x14ac:dyDescent="0.25">
      <c r="D17">
        <v>1</v>
      </c>
      <c r="E17" t="s">
        <v>16</v>
      </c>
      <c r="F17" t="s">
        <v>58</v>
      </c>
      <c r="G17">
        <v>80</v>
      </c>
      <c r="H17" t="s">
        <v>59</v>
      </c>
      <c r="I17">
        <v>311</v>
      </c>
      <c r="J17" t="s">
        <v>60</v>
      </c>
      <c r="K17">
        <v>1551443</v>
      </c>
    </row>
    <row r="18" spans="4:11" x14ac:dyDescent="0.25">
      <c r="D18">
        <v>1</v>
      </c>
      <c r="E18" t="s">
        <v>16</v>
      </c>
      <c r="F18" t="s">
        <v>61</v>
      </c>
      <c r="G18">
        <v>80</v>
      </c>
      <c r="H18" t="s">
        <v>62</v>
      </c>
      <c r="I18">
        <v>329</v>
      </c>
      <c r="J18" t="s">
        <v>63</v>
      </c>
      <c r="K18">
        <v>1554885</v>
      </c>
    </row>
    <row r="19" spans="4:11" x14ac:dyDescent="0.25">
      <c r="D19">
        <v>1</v>
      </c>
      <c r="E19" t="s">
        <v>64</v>
      </c>
      <c r="F19" t="s">
        <v>65</v>
      </c>
      <c r="G19">
        <v>99</v>
      </c>
      <c r="H19" t="s">
        <v>66</v>
      </c>
      <c r="I19">
        <v>91</v>
      </c>
      <c r="J19" t="s">
        <v>67</v>
      </c>
      <c r="K19">
        <v>1555098</v>
      </c>
    </row>
    <row r="20" spans="4:11" x14ac:dyDescent="0.25">
      <c r="D20">
        <v>1</v>
      </c>
      <c r="E20" t="s">
        <v>50</v>
      </c>
      <c r="F20" t="s">
        <v>68</v>
      </c>
      <c r="G20">
        <v>128</v>
      </c>
      <c r="H20" t="s">
        <v>69</v>
      </c>
      <c r="I20">
        <v>30</v>
      </c>
      <c r="J20" t="s">
        <v>70</v>
      </c>
      <c r="K20">
        <v>1555372</v>
      </c>
    </row>
    <row r="21" spans="4:11" x14ac:dyDescent="0.25">
      <c r="D21">
        <v>1</v>
      </c>
      <c r="E21" t="s">
        <v>50</v>
      </c>
      <c r="F21" t="s">
        <v>71</v>
      </c>
      <c r="G21">
        <v>54</v>
      </c>
      <c r="H21" t="s">
        <v>72</v>
      </c>
      <c r="I21">
        <v>83</v>
      </c>
      <c r="J21" t="s">
        <v>73</v>
      </c>
      <c r="K21">
        <v>1555537</v>
      </c>
    </row>
    <row r="22" spans="4:11" x14ac:dyDescent="0.25">
      <c r="D22">
        <v>1</v>
      </c>
      <c r="E22" t="s">
        <v>54</v>
      </c>
      <c r="F22" t="s">
        <v>74</v>
      </c>
      <c r="G22">
        <v>216</v>
      </c>
      <c r="H22" t="s">
        <v>75</v>
      </c>
      <c r="I22">
        <v>81</v>
      </c>
      <c r="J22" t="s">
        <v>76</v>
      </c>
      <c r="K22">
        <v>1556045</v>
      </c>
    </row>
    <row r="23" spans="4:11" x14ac:dyDescent="0.25">
      <c r="D23">
        <v>1</v>
      </c>
      <c r="E23" t="s">
        <v>16</v>
      </c>
      <c r="F23" t="s">
        <v>77</v>
      </c>
      <c r="G23">
        <v>216</v>
      </c>
      <c r="H23" t="s">
        <v>78</v>
      </c>
      <c r="I23">
        <v>82</v>
      </c>
      <c r="J23" t="s">
        <v>79</v>
      </c>
      <c r="K23">
        <v>1556049</v>
      </c>
    </row>
    <row r="24" spans="4:11" x14ac:dyDescent="0.25">
      <c r="D24">
        <v>1</v>
      </c>
      <c r="E24" t="s">
        <v>35</v>
      </c>
      <c r="F24" t="s">
        <v>80</v>
      </c>
      <c r="G24">
        <v>216</v>
      </c>
      <c r="H24" t="s">
        <v>81</v>
      </c>
      <c r="I24">
        <v>84</v>
      </c>
      <c r="J24" t="s">
        <v>82</v>
      </c>
      <c r="K24">
        <v>1556797</v>
      </c>
    </row>
    <row r="25" spans="4:11" x14ac:dyDescent="0.25">
      <c r="D25">
        <v>1</v>
      </c>
      <c r="E25" t="s">
        <v>35</v>
      </c>
      <c r="F25" t="s">
        <v>83</v>
      </c>
      <c r="G25">
        <v>216</v>
      </c>
      <c r="H25" t="s">
        <v>84</v>
      </c>
      <c r="I25">
        <v>86</v>
      </c>
      <c r="J25" t="s">
        <v>85</v>
      </c>
      <c r="K25">
        <v>1556860</v>
      </c>
    </row>
    <row r="26" spans="4:11" x14ac:dyDescent="0.25">
      <c r="D26">
        <v>1</v>
      </c>
      <c r="E26" t="s">
        <v>16</v>
      </c>
      <c r="F26" t="s">
        <v>86</v>
      </c>
      <c r="G26">
        <v>216</v>
      </c>
      <c r="H26" t="s">
        <v>87</v>
      </c>
      <c r="I26">
        <v>87</v>
      </c>
      <c r="J26" t="s">
        <v>88</v>
      </c>
      <c r="K26">
        <v>1556869</v>
      </c>
    </row>
    <row r="27" spans="4:11" x14ac:dyDescent="0.25">
      <c r="D27">
        <v>1</v>
      </c>
      <c r="E27" t="s">
        <v>35</v>
      </c>
      <c r="F27" t="s">
        <v>89</v>
      </c>
      <c r="G27">
        <v>33</v>
      </c>
      <c r="H27" t="s">
        <v>90</v>
      </c>
      <c r="I27">
        <v>327</v>
      </c>
      <c r="J27" t="s">
        <v>91</v>
      </c>
      <c r="K27">
        <v>1556873</v>
      </c>
    </row>
    <row r="28" spans="4:11" x14ac:dyDescent="0.25">
      <c r="D28">
        <v>1</v>
      </c>
      <c r="E28" t="s">
        <v>54</v>
      </c>
      <c r="F28" t="s">
        <v>92</v>
      </c>
      <c r="G28">
        <v>33</v>
      </c>
      <c r="H28" t="s">
        <v>93</v>
      </c>
      <c r="I28">
        <v>315</v>
      </c>
      <c r="J28" t="s">
        <v>94</v>
      </c>
      <c r="K28">
        <v>1559471</v>
      </c>
    </row>
    <row r="29" spans="4:11" x14ac:dyDescent="0.25">
      <c r="D29">
        <v>1</v>
      </c>
      <c r="E29" t="s">
        <v>16</v>
      </c>
      <c r="F29" t="s">
        <v>95</v>
      </c>
      <c r="G29">
        <v>216</v>
      </c>
      <c r="H29" t="s">
        <v>96</v>
      </c>
      <c r="I29">
        <v>326</v>
      </c>
      <c r="J29" t="s">
        <v>97</v>
      </c>
      <c r="K29">
        <v>1562164</v>
      </c>
    </row>
    <row r="30" spans="4:11" x14ac:dyDescent="0.25">
      <c r="D30">
        <v>1</v>
      </c>
      <c r="E30" t="s">
        <v>50</v>
      </c>
      <c r="F30" t="s">
        <v>98</v>
      </c>
      <c r="G30">
        <v>164</v>
      </c>
      <c r="H30" t="s">
        <v>99</v>
      </c>
      <c r="I30">
        <v>235</v>
      </c>
      <c r="J30" t="s">
        <v>100</v>
      </c>
      <c r="K30">
        <v>1563327</v>
      </c>
    </row>
    <row r="31" spans="4:11" x14ac:dyDescent="0.25">
      <c r="E31" t="s">
        <v>50</v>
      </c>
      <c r="F31" t="s">
        <v>101</v>
      </c>
      <c r="G31">
        <v>212</v>
      </c>
      <c r="H31" t="s">
        <v>102</v>
      </c>
      <c r="I31">
        <v>85</v>
      </c>
      <c r="J31" t="s">
        <v>103</v>
      </c>
      <c r="K31">
        <v>1564362</v>
      </c>
    </row>
    <row r="32" spans="4:11" x14ac:dyDescent="0.25">
      <c r="D32">
        <v>1</v>
      </c>
      <c r="E32" t="s">
        <v>35</v>
      </c>
      <c r="F32" t="s">
        <v>104</v>
      </c>
      <c r="G32">
        <v>14</v>
      </c>
      <c r="H32" t="s">
        <v>105</v>
      </c>
      <c r="I32">
        <v>206</v>
      </c>
      <c r="J32" t="s">
        <v>106</v>
      </c>
      <c r="K32">
        <v>1566437</v>
      </c>
    </row>
    <row r="33" spans="4:11" x14ac:dyDescent="0.25">
      <c r="D33">
        <v>1</v>
      </c>
      <c r="E33" t="s">
        <v>107</v>
      </c>
      <c r="F33" t="s">
        <v>108</v>
      </c>
      <c r="G33">
        <v>216</v>
      </c>
      <c r="H33" t="s">
        <v>109</v>
      </c>
      <c r="I33">
        <v>169</v>
      </c>
      <c r="J33" t="s">
        <v>110</v>
      </c>
      <c r="K33">
        <v>1566997</v>
      </c>
    </row>
    <row r="34" spans="4:11" x14ac:dyDescent="0.25">
      <c r="D34">
        <v>1</v>
      </c>
      <c r="E34" t="s">
        <v>43</v>
      </c>
      <c r="F34" t="s">
        <v>111</v>
      </c>
      <c r="G34">
        <v>72</v>
      </c>
      <c r="H34" t="s">
        <v>112</v>
      </c>
      <c r="I34">
        <v>238</v>
      </c>
      <c r="J34" t="s">
        <v>113</v>
      </c>
      <c r="K34">
        <v>1567361</v>
      </c>
    </row>
    <row r="35" spans="4:11" x14ac:dyDescent="0.25">
      <c r="D35">
        <v>1</v>
      </c>
      <c r="E35" t="s">
        <v>43</v>
      </c>
      <c r="F35" t="s">
        <v>114</v>
      </c>
      <c r="G35">
        <v>194</v>
      </c>
      <c r="H35" t="s">
        <v>115</v>
      </c>
      <c r="I35">
        <v>34</v>
      </c>
      <c r="J35" t="s">
        <v>116</v>
      </c>
      <c r="K35">
        <v>1569203</v>
      </c>
    </row>
    <row r="36" spans="4:11" x14ac:dyDescent="0.25">
      <c r="D36">
        <v>1</v>
      </c>
      <c r="E36" t="s">
        <v>64</v>
      </c>
      <c r="F36" t="s">
        <v>117</v>
      </c>
      <c r="G36">
        <v>54</v>
      </c>
      <c r="H36" t="s">
        <v>118</v>
      </c>
      <c r="I36">
        <v>317</v>
      </c>
      <c r="J36" t="s">
        <v>119</v>
      </c>
      <c r="K36">
        <v>1571506</v>
      </c>
    </row>
    <row r="37" spans="4:11" x14ac:dyDescent="0.25">
      <c r="D37">
        <v>1</v>
      </c>
      <c r="E37" t="s">
        <v>39</v>
      </c>
      <c r="F37" t="s">
        <v>120</v>
      </c>
      <c r="G37">
        <v>212</v>
      </c>
      <c r="H37" t="s">
        <v>121</v>
      </c>
      <c r="I37">
        <v>56</v>
      </c>
      <c r="J37" t="s">
        <v>122</v>
      </c>
      <c r="K37">
        <v>1571559</v>
      </c>
    </row>
    <row r="38" spans="4:11" x14ac:dyDescent="0.25">
      <c r="D38">
        <v>1</v>
      </c>
      <c r="E38" t="s">
        <v>35</v>
      </c>
      <c r="F38" t="s">
        <v>123</v>
      </c>
      <c r="G38">
        <v>93</v>
      </c>
      <c r="H38" t="s">
        <v>124</v>
      </c>
      <c r="I38">
        <v>286</v>
      </c>
      <c r="J38" t="s">
        <v>125</v>
      </c>
      <c r="K38">
        <v>1572318</v>
      </c>
    </row>
    <row r="39" spans="4:11" x14ac:dyDescent="0.25">
      <c r="D39">
        <v>1</v>
      </c>
      <c r="E39" t="s">
        <v>24</v>
      </c>
      <c r="F39" t="s">
        <v>126</v>
      </c>
      <c r="G39">
        <v>194</v>
      </c>
      <c r="H39" t="s">
        <v>127</v>
      </c>
      <c r="I39">
        <v>241</v>
      </c>
      <c r="J39" t="s">
        <v>128</v>
      </c>
      <c r="K39">
        <v>1572557</v>
      </c>
    </row>
    <row r="40" spans="4:11" x14ac:dyDescent="0.25">
      <c r="D40">
        <v>1</v>
      </c>
      <c r="E40" t="s">
        <v>39</v>
      </c>
      <c r="F40" t="s">
        <v>126</v>
      </c>
      <c r="G40">
        <v>194</v>
      </c>
      <c r="H40" t="s">
        <v>127</v>
      </c>
      <c r="I40">
        <v>240</v>
      </c>
      <c r="J40" t="s">
        <v>128</v>
      </c>
      <c r="K40">
        <v>1572557</v>
      </c>
    </row>
    <row r="41" spans="4:11" x14ac:dyDescent="0.25">
      <c r="D41">
        <v>1</v>
      </c>
      <c r="E41" t="s">
        <v>20</v>
      </c>
      <c r="F41" t="s">
        <v>129</v>
      </c>
      <c r="G41">
        <v>151</v>
      </c>
      <c r="H41" t="s">
        <v>130</v>
      </c>
      <c r="I41">
        <v>41</v>
      </c>
      <c r="J41" t="s">
        <v>131</v>
      </c>
      <c r="K41">
        <v>1878353</v>
      </c>
    </row>
    <row r="42" spans="4:11" x14ac:dyDescent="0.25">
      <c r="D42">
        <v>1</v>
      </c>
      <c r="E42" t="s">
        <v>54</v>
      </c>
      <c r="F42" t="s">
        <v>132</v>
      </c>
      <c r="G42">
        <v>156</v>
      </c>
      <c r="H42" t="s">
        <v>133</v>
      </c>
      <c r="I42">
        <v>40</v>
      </c>
      <c r="J42" t="s">
        <v>134</v>
      </c>
      <c r="K42">
        <v>1878563</v>
      </c>
    </row>
    <row r="43" spans="4:11" x14ac:dyDescent="0.25">
      <c r="D43">
        <v>1</v>
      </c>
      <c r="E43" t="s">
        <v>16</v>
      </c>
      <c r="F43" t="s">
        <v>135</v>
      </c>
      <c r="G43">
        <v>151</v>
      </c>
      <c r="H43" t="s">
        <v>136</v>
      </c>
      <c r="I43">
        <v>305</v>
      </c>
      <c r="J43" t="s">
        <v>137</v>
      </c>
      <c r="K43">
        <v>1878625</v>
      </c>
    </row>
    <row r="44" spans="4:11" x14ac:dyDescent="0.25">
      <c r="D44">
        <v>1</v>
      </c>
      <c r="E44" t="s">
        <v>16</v>
      </c>
      <c r="F44" t="s">
        <v>138</v>
      </c>
      <c r="G44">
        <v>56</v>
      </c>
      <c r="H44" t="s">
        <v>139</v>
      </c>
      <c r="I44">
        <v>102</v>
      </c>
      <c r="J44" t="s">
        <v>140</v>
      </c>
      <c r="K44">
        <v>1878715</v>
      </c>
    </row>
    <row r="45" spans="4:11" x14ac:dyDescent="0.25">
      <c r="D45">
        <v>1</v>
      </c>
      <c r="E45" t="s">
        <v>35</v>
      </c>
      <c r="F45" t="s">
        <v>141</v>
      </c>
      <c r="G45">
        <v>56</v>
      </c>
      <c r="H45" t="s">
        <v>142</v>
      </c>
      <c r="I45">
        <v>105</v>
      </c>
      <c r="J45" t="s">
        <v>143</v>
      </c>
      <c r="K45">
        <v>1878716</v>
      </c>
    </row>
    <row r="46" spans="4:11" x14ac:dyDescent="0.25">
      <c r="D46">
        <v>1</v>
      </c>
      <c r="E46" t="s">
        <v>12</v>
      </c>
      <c r="F46" t="s">
        <v>144</v>
      </c>
      <c r="G46">
        <v>72</v>
      </c>
      <c r="H46" t="s">
        <v>145</v>
      </c>
      <c r="I46">
        <v>98</v>
      </c>
      <c r="J46" t="s">
        <v>146</v>
      </c>
      <c r="K46">
        <v>1880479</v>
      </c>
    </row>
    <row r="47" spans="4:11" x14ac:dyDescent="0.25">
      <c r="D47">
        <v>1</v>
      </c>
      <c r="E47" t="s">
        <v>54</v>
      </c>
      <c r="F47" t="s">
        <v>147</v>
      </c>
      <c r="G47">
        <v>216</v>
      </c>
      <c r="H47" t="s">
        <v>148</v>
      </c>
      <c r="I47">
        <v>281</v>
      </c>
      <c r="J47" t="s">
        <v>149</v>
      </c>
      <c r="K47">
        <v>1887714</v>
      </c>
    </row>
    <row r="48" spans="4:11" x14ac:dyDescent="0.25">
      <c r="D48">
        <v>1</v>
      </c>
      <c r="E48" t="s">
        <v>16</v>
      </c>
      <c r="F48" t="s">
        <v>150</v>
      </c>
      <c r="G48">
        <v>205</v>
      </c>
      <c r="H48" t="s">
        <v>151</v>
      </c>
      <c r="I48">
        <v>90</v>
      </c>
      <c r="J48" t="s">
        <v>150</v>
      </c>
      <c r="K48">
        <v>1887963</v>
      </c>
    </row>
    <row r="49" spans="4:11" x14ac:dyDescent="0.25">
      <c r="D49">
        <v>1</v>
      </c>
      <c r="E49" t="s">
        <v>43</v>
      </c>
      <c r="F49" t="s">
        <v>152</v>
      </c>
      <c r="G49">
        <v>57</v>
      </c>
      <c r="H49" t="s">
        <v>153</v>
      </c>
      <c r="I49">
        <v>70</v>
      </c>
      <c r="J49" t="s">
        <v>154</v>
      </c>
      <c r="K49">
        <v>1888993</v>
      </c>
    </row>
    <row r="50" spans="4:11" x14ac:dyDescent="0.25">
      <c r="D50">
        <v>1</v>
      </c>
      <c r="E50" t="s">
        <v>155</v>
      </c>
      <c r="F50" t="s">
        <v>156</v>
      </c>
      <c r="G50">
        <v>72</v>
      </c>
      <c r="H50" t="s">
        <v>157</v>
      </c>
      <c r="I50">
        <v>181</v>
      </c>
      <c r="J50" t="s">
        <v>158</v>
      </c>
      <c r="K50">
        <v>1891323</v>
      </c>
    </row>
    <row r="51" spans="4:11" x14ac:dyDescent="0.25">
      <c r="D51">
        <v>1</v>
      </c>
      <c r="E51" t="s">
        <v>43</v>
      </c>
      <c r="F51" t="s">
        <v>159</v>
      </c>
      <c r="G51">
        <v>113</v>
      </c>
      <c r="H51" t="s">
        <v>160</v>
      </c>
      <c r="I51">
        <v>71</v>
      </c>
      <c r="J51" t="s">
        <v>159</v>
      </c>
      <c r="K51">
        <v>1891498</v>
      </c>
    </row>
    <row r="52" spans="4:11" x14ac:dyDescent="0.25">
      <c r="D52">
        <v>1</v>
      </c>
      <c r="E52" t="s">
        <v>16</v>
      </c>
      <c r="F52" t="s">
        <v>161</v>
      </c>
      <c r="G52">
        <v>72</v>
      </c>
      <c r="H52" t="s">
        <v>162</v>
      </c>
      <c r="I52">
        <v>287</v>
      </c>
      <c r="J52" t="s">
        <v>163</v>
      </c>
      <c r="K52">
        <v>1893272</v>
      </c>
    </row>
    <row r="53" spans="4:11" x14ac:dyDescent="0.25">
      <c r="D53">
        <v>1</v>
      </c>
      <c r="E53" t="s">
        <v>12</v>
      </c>
      <c r="F53" t="s">
        <v>164</v>
      </c>
      <c r="G53">
        <v>113</v>
      </c>
      <c r="H53" t="s">
        <v>165</v>
      </c>
      <c r="I53">
        <v>221</v>
      </c>
      <c r="J53" t="s">
        <v>164</v>
      </c>
      <c r="K53">
        <v>1893845</v>
      </c>
    </row>
    <row r="54" spans="4:11" x14ac:dyDescent="0.25">
      <c r="D54">
        <v>1</v>
      </c>
      <c r="E54" t="s">
        <v>107</v>
      </c>
      <c r="F54" t="s">
        <v>166</v>
      </c>
      <c r="G54">
        <v>113</v>
      </c>
      <c r="H54" t="s">
        <v>167</v>
      </c>
      <c r="I54">
        <v>223</v>
      </c>
      <c r="J54" t="s">
        <v>166</v>
      </c>
      <c r="K54">
        <v>1893972</v>
      </c>
    </row>
    <row r="55" spans="4:11" x14ac:dyDescent="0.25">
      <c r="D55">
        <v>1</v>
      </c>
      <c r="E55" t="s">
        <v>20</v>
      </c>
      <c r="F55" t="s">
        <v>168</v>
      </c>
      <c r="G55">
        <v>113</v>
      </c>
      <c r="H55" t="s">
        <v>169</v>
      </c>
      <c r="I55">
        <v>224</v>
      </c>
      <c r="J55" t="s">
        <v>168</v>
      </c>
      <c r="K55">
        <v>1893995</v>
      </c>
    </row>
    <row r="56" spans="4:11" x14ac:dyDescent="0.25">
      <c r="D56">
        <v>1</v>
      </c>
      <c r="E56" t="s">
        <v>155</v>
      </c>
      <c r="F56" t="s">
        <v>170</v>
      </c>
      <c r="G56">
        <v>72</v>
      </c>
      <c r="H56" t="s">
        <v>171</v>
      </c>
      <c r="I56">
        <v>115</v>
      </c>
      <c r="J56" t="s">
        <v>172</v>
      </c>
      <c r="K56">
        <v>1895661</v>
      </c>
    </row>
    <row r="57" spans="4:11" x14ac:dyDescent="0.25">
      <c r="D57">
        <v>1</v>
      </c>
      <c r="E57" t="s">
        <v>107</v>
      </c>
      <c r="F57" t="s">
        <v>173</v>
      </c>
      <c r="G57">
        <v>72</v>
      </c>
      <c r="H57" t="s">
        <v>174</v>
      </c>
      <c r="I57">
        <v>117</v>
      </c>
      <c r="J57" t="s">
        <v>175</v>
      </c>
      <c r="K57">
        <v>1895672</v>
      </c>
    </row>
    <row r="58" spans="4:11" x14ac:dyDescent="0.25">
      <c r="D58">
        <v>1</v>
      </c>
      <c r="E58" t="s">
        <v>54</v>
      </c>
      <c r="F58" t="s">
        <v>176</v>
      </c>
      <c r="G58">
        <v>72</v>
      </c>
      <c r="H58" t="s">
        <v>177</v>
      </c>
      <c r="I58">
        <v>126</v>
      </c>
      <c r="J58" t="s">
        <v>178</v>
      </c>
      <c r="K58">
        <v>1895717</v>
      </c>
    </row>
    <row r="59" spans="4:11" x14ac:dyDescent="0.25">
      <c r="D59">
        <v>1</v>
      </c>
      <c r="E59" t="s">
        <v>35</v>
      </c>
      <c r="F59" t="s">
        <v>179</v>
      </c>
      <c r="G59">
        <v>82</v>
      </c>
      <c r="H59" t="s">
        <v>180</v>
      </c>
      <c r="I59">
        <v>187</v>
      </c>
      <c r="J59" t="s">
        <v>179</v>
      </c>
      <c r="K59">
        <v>1896230</v>
      </c>
    </row>
    <row r="60" spans="4:11" x14ac:dyDescent="0.25">
      <c r="D60">
        <v>1</v>
      </c>
      <c r="E60" t="s">
        <v>107</v>
      </c>
      <c r="F60" t="s">
        <v>181</v>
      </c>
      <c r="G60">
        <v>108</v>
      </c>
      <c r="H60" t="s">
        <v>182</v>
      </c>
      <c r="I60">
        <v>151</v>
      </c>
      <c r="J60" t="s">
        <v>181</v>
      </c>
      <c r="K60">
        <v>1896548</v>
      </c>
    </row>
    <row r="61" spans="4:11" x14ac:dyDescent="0.25">
      <c r="D61">
        <v>1</v>
      </c>
      <c r="E61" t="s">
        <v>183</v>
      </c>
      <c r="F61" t="s">
        <v>184</v>
      </c>
      <c r="G61">
        <v>108</v>
      </c>
      <c r="H61" t="s">
        <v>185</v>
      </c>
      <c r="I61">
        <v>168</v>
      </c>
      <c r="J61" t="s">
        <v>184</v>
      </c>
      <c r="K61">
        <v>1896735</v>
      </c>
    </row>
    <row r="62" spans="4:11" x14ac:dyDescent="0.25">
      <c r="D62">
        <v>1</v>
      </c>
      <c r="E62" t="s">
        <v>107</v>
      </c>
      <c r="F62" t="s">
        <v>186</v>
      </c>
      <c r="G62">
        <v>108</v>
      </c>
      <c r="H62" t="s">
        <v>187</v>
      </c>
      <c r="I62">
        <v>176</v>
      </c>
      <c r="J62" t="s">
        <v>186</v>
      </c>
      <c r="K62">
        <v>1896763</v>
      </c>
    </row>
    <row r="63" spans="4:11" x14ac:dyDescent="0.25">
      <c r="D63">
        <v>1</v>
      </c>
      <c r="E63" t="s">
        <v>8</v>
      </c>
      <c r="F63" t="s">
        <v>188</v>
      </c>
      <c r="G63">
        <v>108</v>
      </c>
      <c r="H63" t="s">
        <v>189</v>
      </c>
      <c r="I63">
        <v>178</v>
      </c>
      <c r="J63" t="s">
        <v>188</v>
      </c>
      <c r="K63">
        <v>1896765</v>
      </c>
    </row>
    <row r="64" spans="4:11" x14ac:dyDescent="0.25">
      <c r="D64">
        <v>1</v>
      </c>
      <c r="E64" t="s">
        <v>16</v>
      </c>
      <c r="F64" t="s">
        <v>190</v>
      </c>
      <c r="G64">
        <v>151</v>
      </c>
      <c r="H64" t="s">
        <v>191</v>
      </c>
      <c r="I64">
        <v>27</v>
      </c>
      <c r="J64" t="s">
        <v>192</v>
      </c>
      <c r="K64">
        <v>1898250</v>
      </c>
    </row>
    <row r="65" spans="4:11" x14ac:dyDescent="0.25">
      <c r="D65">
        <v>1</v>
      </c>
      <c r="E65" t="s">
        <v>24</v>
      </c>
      <c r="F65" t="s">
        <v>193</v>
      </c>
      <c r="G65">
        <v>53</v>
      </c>
      <c r="H65" t="s">
        <v>194</v>
      </c>
      <c r="I65">
        <v>172</v>
      </c>
      <c r="J65" t="s">
        <v>195</v>
      </c>
      <c r="K65">
        <v>1898499</v>
      </c>
    </row>
    <row r="66" spans="4:11" x14ac:dyDescent="0.25">
      <c r="D66">
        <v>1</v>
      </c>
      <c r="E66" t="s">
        <v>20</v>
      </c>
      <c r="F66" t="s">
        <v>196</v>
      </c>
      <c r="G66">
        <v>104</v>
      </c>
      <c r="H66" t="s">
        <v>197</v>
      </c>
      <c r="I66">
        <v>209</v>
      </c>
      <c r="J66" t="s">
        <v>198</v>
      </c>
      <c r="K66">
        <v>1899653</v>
      </c>
    </row>
    <row r="67" spans="4:11" x14ac:dyDescent="0.25">
      <c r="D67">
        <v>1</v>
      </c>
      <c r="E67" t="s">
        <v>35</v>
      </c>
      <c r="F67" t="s">
        <v>199</v>
      </c>
      <c r="G67">
        <v>60</v>
      </c>
      <c r="H67" t="s">
        <v>200</v>
      </c>
      <c r="I67">
        <v>47</v>
      </c>
      <c r="J67" t="s">
        <v>201</v>
      </c>
      <c r="K67">
        <v>1899666</v>
      </c>
    </row>
    <row r="68" spans="4:11" x14ac:dyDescent="0.25">
      <c r="D68">
        <v>1</v>
      </c>
      <c r="E68" t="s">
        <v>54</v>
      </c>
      <c r="F68" t="s">
        <v>202</v>
      </c>
      <c r="G68">
        <v>77</v>
      </c>
      <c r="H68" t="s">
        <v>203</v>
      </c>
      <c r="I68">
        <v>210</v>
      </c>
      <c r="J68" t="s">
        <v>204</v>
      </c>
      <c r="K68">
        <v>1899728</v>
      </c>
    </row>
    <row r="69" spans="4:11" x14ac:dyDescent="0.25">
      <c r="D69">
        <v>1</v>
      </c>
      <c r="E69" t="s">
        <v>16</v>
      </c>
      <c r="F69" t="s">
        <v>205</v>
      </c>
      <c r="G69">
        <v>68</v>
      </c>
      <c r="H69" t="s">
        <v>206</v>
      </c>
      <c r="I69">
        <v>29</v>
      </c>
      <c r="J69" t="s">
        <v>207</v>
      </c>
      <c r="K69">
        <v>1901284</v>
      </c>
    </row>
    <row r="70" spans="4:11" x14ac:dyDescent="0.25">
      <c r="D70">
        <v>1</v>
      </c>
      <c r="E70" t="s">
        <v>35</v>
      </c>
      <c r="F70" t="s">
        <v>208</v>
      </c>
      <c r="G70">
        <v>42</v>
      </c>
      <c r="H70" t="s">
        <v>209</v>
      </c>
      <c r="I70">
        <v>134</v>
      </c>
      <c r="J70" t="s">
        <v>208</v>
      </c>
      <c r="K70">
        <v>1901538</v>
      </c>
    </row>
    <row r="71" spans="4:11" x14ac:dyDescent="0.25">
      <c r="D71">
        <v>1</v>
      </c>
      <c r="E71" t="s">
        <v>64</v>
      </c>
      <c r="F71" t="s">
        <v>210</v>
      </c>
      <c r="G71">
        <v>42</v>
      </c>
      <c r="H71" t="s">
        <v>211</v>
      </c>
      <c r="I71">
        <v>135</v>
      </c>
      <c r="J71" t="s">
        <v>210</v>
      </c>
      <c r="K71">
        <v>1901545</v>
      </c>
    </row>
    <row r="72" spans="4:11" x14ac:dyDescent="0.25">
      <c r="D72">
        <v>1</v>
      </c>
      <c r="E72" t="s">
        <v>54</v>
      </c>
      <c r="F72" t="s">
        <v>212</v>
      </c>
      <c r="G72">
        <v>42</v>
      </c>
      <c r="H72" t="s">
        <v>213</v>
      </c>
      <c r="I72">
        <v>138</v>
      </c>
      <c r="J72" t="s">
        <v>212</v>
      </c>
      <c r="K72">
        <v>1901550</v>
      </c>
    </row>
    <row r="73" spans="4:11" x14ac:dyDescent="0.25">
      <c r="D73">
        <v>1</v>
      </c>
      <c r="E73" t="s">
        <v>16</v>
      </c>
      <c r="F73" t="s">
        <v>214</v>
      </c>
      <c r="G73">
        <v>42</v>
      </c>
      <c r="H73" t="s">
        <v>215</v>
      </c>
      <c r="I73">
        <v>139</v>
      </c>
      <c r="J73" t="s">
        <v>214</v>
      </c>
      <c r="K73">
        <v>1901556</v>
      </c>
    </row>
    <row r="74" spans="4:11" x14ac:dyDescent="0.25">
      <c r="D74">
        <v>1</v>
      </c>
      <c r="E74" t="s">
        <v>107</v>
      </c>
      <c r="F74" t="s">
        <v>216</v>
      </c>
      <c r="G74">
        <v>108</v>
      </c>
      <c r="H74" t="s">
        <v>217</v>
      </c>
      <c r="I74">
        <v>230</v>
      </c>
      <c r="J74" t="s">
        <v>216</v>
      </c>
      <c r="K74">
        <v>1902055</v>
      </c>
    </row>
    <row r="75" spans="4:11" x14ac:dyDescent="0.25">
      <c r="D75">
        <v>1</v>
      </c>
      <c r="E75" t="s">
        <v>12</v>
      </c>
      <c r="F75" t="s">
        <v>218</v>
      </c>
      <c r="G75">
        <v>108</v>
      </c>
      <c r="H75" t="s">
        <v>219</v>
      </c>
      <c r="I75">
        <v>231</v>
      </c>
      <c r="J75" t="s">
        <v>218</v>
      </c>
      <c r="K75">
        <v>1902081</v>
      </c>
    </row>
    <row r="76" spans="4:11" x14ac:dyDescent="0.25">
      <c r="D76">
        <v>1</v>
      </c>
      <c r="E76" t="s">
        <v>39</v>
      </c>
      <c r="F76" t="s">
        <v>220</v>
      </c>
      <c r="G76">
        <v>113</v>
      </c>
      <c r="H76" t="s">
        <v>221</v>
      </c>
      <c r="I76">
        <v>1</v>
      </c>
      <c r="J76" t="s">
        <v>220</v>
      </c>
      <c r="K76">
        <v>1902135</v>
      </c>
    </row>
    <row r="77" spans="4:11" x14ac:dyDescent="0.25">
      <c r="D77">
        <v>1</v>
      </c>
      <c r="E77" t="s">
        <v>20</v>
      </c>
      <c r="F77" t="s">
        <v>222</v>
      </c>
      <c r="G77">
        <v>113</v>
      </c>
      <c r="H77" t="s">
        <v>223</v>
      </c>
      <c r="I77">
        <v>2</v>
      </c>
      <c r="J77" t="s">
        <v>222</v>
      </c>
      <c r="K77">
        <v>1902147</v>
      </c>
    </row>
    <row r="78" spans="4:11" x14ac:dyDescent="0.25">
      <c r="D78">
        <v>1</v>
      </c>
      <c r="E78" t="s">
        <v>39</v>
      </c>
      <c r="F78" t="s">
        <v>224</v>
      </c>
      <c r="G78">
        <v>42</v>
      </c>
      <c r="H78" t="s">
        <v>225</v>
      </c>
      <c r="I78">
        <v>275</v>
      </c>
      <c r="J78" t="s">
        <v>224</v>
      </c>
      <c r="K78">
        <v>1902295</v>
      </c>
    </row>
    <row r="79" spans="4:11" x14ac:dyDescent="0.25">
      <c r="D79">
        <v>1</v>
      </c>
      <c r="E79" t="s">
        <v>20</v>
      </c>
      <c r="F79" t="s">
        <v>226</v>
      </c>
      <c r="G79">
        <v>42</v>
      </c>
      <c r="H79" t="s">
        <v>227</v>
      </c>
      <c r="I79">
        <v>276</v>
      </c>
      <c r="J79" t="s">
        <v>226</v>
      </c>
      <c r="K79">
        <v>1902307</v>
      </c>
    </row>
    <row r="80" spans="4:11" x14ac:dyDescent="0.25">
      <c r="D80">
        <v>1</v>
      </c>
      <c r="E80" t="s">
        <v>50</v>
      </c>
      <c r="F80" t="s">
        <v>228</v>
      </c>
      <c r="G80">
        <v>200</v>
      </c>
      <c r="H80" t="s">
        <v>229</v>
      </c>
      <c r="I80">
        <v>284</v>
      </c>
      <c r="J80" t="s">
        <v>230</v>
      </c>
      <c r="K80">
        <v>1902841</v>
      </c>
    </row>
    <row r="81" spans="4:11" x14ac:dyDescent="0.25">
      <c r="D81">
        <v>1</v>
      </c>
      <c r="E81" t="s">
        <v>35</v>
      </c>
      <c r="F81" t="s">
        <v>231</v>
      </c>
      <c r="G81">
        <v>33</v>
      </c>
      <c r="H81" t="s">
        <v>232</v>
      </c>
      <c r="I81">
        <v>309</v>
      </c>
      <c r="J81" t="s">
        <v>233</v>
      </c>
      <c r="K81">
        <v>1903011</v>
      </c>
    </row>
    <row r="82" spans="4:11" x14ac:dyDescent="0.25">
      <c r="D82">
        <v>1</v>
      </c>
      <c r="E82" t="s">
        <v>35</v>
      </c>
      <c r="F82" t="s">
        <v>234</v>
      </c>
      <c r="G82">
        <v>20</v>
      </c>
      <c r="H82" t="s">
        <v>235</v>
      </c>
      <c r="I82">
        <v>64</v>
      </c>
      <c r="J82" t="s">
        <v>234</v>
      </c>
      <c r="K82">
        <v>1903112</v>
      </c>
    </row>
    <row r="83" spans="4:11" x14ac:dyDescent="0.25">
      <c r="D83">
        <v>1</v>
      </c>
      <c r="E83" t="s">
        <v>183</v>
      </c>
      <c r="F83" t="s">
        <v>236</v>
      </c>
      <c r="G83">
        <v>20</v>
      </c>
      <c r="H83" t="s">
        <v>237</v>
      </c>
      <c r="I83">
        <v>120</v>
      </c>
      <c r="J83" t="s">
        <v>238</v>
      </c>
      <c r="K83">
        <v>1903136</v>
      </c>
    </row>
    <row r="84" spans="4:11" x14ac:dyDescent="0.25">
      <c r="D84">
        <v>1</v>
      </c>
      <c r="E84" t="s">
        <v>20</v>
      </c>
      <c r="F84" t="s">
        <v>236</v>
      </c>
      <c r="G84">
        <v>20</v>
      </c>
      <c r="H84" t="s">
        <v>237</v>
      </c>
      <c r="I84">
        <v>118</v>
      </c>
      <c r="J84" t="s">
        <v>238</v>
      </c>
      <c r="K84">
        <v>1903136</v>
      </c>
    </row>
    <row r="85" spans="4:11" x14ac:dyDescent="0.25">
      <c r="D85">
        <v>1</v>
      </c>
      <c r="E85" t="s">
        <v>54</v>
      </c>
      <c r="F85" t="s">
        <v>239</v>
      </c>
      <c r="G85">
        <v>113</v>
      </c>
      <c r="H85" t="s">
        <v>240</v>
      </c>
      <c r="I85">
        <v>285</v>
      </c>
      <c r="J85" t="s">
        <v>239</v>
      </c>
      <c r="K85">
        <v>1904038</v>
      </c>
    </row>
    <row r="86" spans="4:11" x14ac:dyDescent="0.25">
      <c r="D86">
        <v>1</v>
      </c>
      <c r="E86" t="s">
        <v>50</v>
      </c>
      <c r="F86" t="s">
        <v>241</v>
      </c>
      <c r="G86">
        <v>113</v>
      </c>
      <c r="H86" t="s">
        <v>242</v>
      </c>
      <c r="I86">
        <v>280</v>
      </c>
      <c r="J86" t="s">
        <v>241</v>
      </c>
      <c r="K86">
        <v>1904040</v>
      </c>
    </row>
    <row r="87" spans="4:11" x14ac:dyDescent="0.25">
      <c r="D87">
        <v>1</v>
      </c>
      <c r="E87" t="s">
        <v>35</v>
      </c>
      <c r="F87" t="s">
        <v>243</v>
      </c>
      <c r="G87">
        <v>66</v>
      </c>
      <c r="H87" t="s">
        <v>244</v>
      </c>
      <c r="I87">
        <v>36</v>
      </c>
      <c r="J87" t="s">
        <v>245</v>
      </c>
      <c r="K87">
        <v>1904099</v>
      </c>
    </row>
    <row r="88" spans="4:11" x14ac:dyDescent="0.25">
      <c r="D88">
        <v>1</v>
      </c>
      <c r="E88" t="s">
        <v>24</v>
      </c>
      <c r="F88" t="s">
        <v>246</v>
      </c>
      <c r="G88">
        <v>77</v>
      </c>
      <c r="H88" t="s">
        <v>247</v>
      </c>
      <c r="I88">
        <v>296</v>
      </c>
      <c r="J88" t="s">
        <v>248</v>
      </c>
      <c r="K88">
        <v>1904251</v>
      </c>
    </row>
    <row r="89" spans="4:11" x14ac:dyDescent="0.25">
      <c r="D89">
        <v>1</v>
      </c>
      <c r="E89" t="s">
        <v>8</v>
      </c>
      <c r="F89" t="s">
        <v>249</v>
      </c>
      <c r="G89">
        <v>77</v>
      </c>
      <c r="H89" t="s">
        <v>250</v>
      </c>
      <c r="I89">
        <v>219</v>
      </c>
      <c r="J89" t="s">
        <v>251</v>
      </c>
      <c r="K89">
        <v>1904430</v>
      </c>
    </row>
    <row r="90" spans="4:11" x14ac:dyDescent="0.25">
      <c r="D90">
        <v>1</v>
      </c>
      <c r="E90" t="s">
        <v>155</v>
      </c>
      <c r="F90" t="s">
        <v>252</v>
      </c>
      <c r="G90">
        <v>77</v>
      </c>
      <c r="H90" t="s">
        <v>253</v>
      </c>
      <c r="I90">
        <v>294</v>
      </c>
      <c r="J90" t="s">
        <v>254</v>
      </c>
      <c r="K90">
        <v>1904745</v>
      </c>
    </row>
    <row r="91" spans="4:11" x14ac:dyDescent="0.25">
      <c r="D91">
        <v>1</v>
      </c>
      <c r="E91" t="s">
        <v>255</v>
      </c>
      <c r="F91" t="s">
        <v>256</v>
      </c>
      <c r="G91">
        <v>93</v>
      </c>
      <c r="H91" t="s">
        <v>257</v>
      </c>
      <c r="I91">
        <v>264</v>
      </c>
      <c r="J91" t="s">
        <v>258</v>
      </c>
      <c r="K91">
        <v>1904977</v>
      </c>
    </row>
    <row r="92" spans="4:11" x14ac:dyDescent="0.25">
      <c r="D92">
        <v>1</v>
      </c>
      <c r="E92" t="s">
        <v>20</v>
      </c>
      <c r="F92" t="s">
        <v>259</v>
      </c>
      <c r="G92">
        <v>93</v>
      </c>
      <c r="H92" t="s">
        <v>260</v>
      </c>
      <c r="I92">
        <v>267</v>
      </c>
      <c r="J92" t="s">
        <v>261</v>
      </c>
      <c r="K92">
        <v>1905860</v>
      </c>
    </row>
    <row r="93" spans="4:11" x14ac:dyDescent="0.25">
      <c r="D93">
        <v>1</v>
      </c>
      <c r="E93" t="s">
        <v>20</v>
      </c>
      <c r="F93" t="s">
        <v>262</v>
      </c>
      <c r="G93">
        <v>82</v>
      </c>
      <c r="H93" t="s">
        <v>263</v>
      </c>
      <c r="I93">
        <v>196</v>
      </c>
      <c r="J93" t="s">
        <v>264</v>
      </c>
      <c r="K93">
        <v>1906515</v>
      </c>
    </row>
    <row r="94" spans="4:11" x14ac:dyDescent="0.25">
      <c r="D94">
        <v>1</v>
      </c>
      <c r="E94" t="s">
        <v>183</v>
      </c>
      <c r="F94" t="s">
        <v>265</v>
      </c>
      <c r="G94">
        <v>82</v>
      </c>
      <c r="H94" t="s">
        <v>266</v>
      </c>
      <c r="I94">
        <v>260</v>
      </c>
      <c r="J94" t="s">
        <v>267</v>
      </c>
      <c r="K94">
        <v>1907192</v>
      </c>
    </row>
    <row r="95" spans="4:11" x14ac:dyDescent="0.25">
      <c r="D95">
        <v>1</v>
      </c>
      <c r="E95" t="s">
        <v>20</v>
      </c>
      <c r="F95" t="s">
        <v>268</v>
      </c>
      <c r="G95">
        <v>59</v>
      </c>
      <c r="H95" t="s">
        <v>269</v>
      </c>
      <c r="I95">
        <v>59</v>
      </c>
      <c r="J95" t="s">
        <v>270</v>
      </c>
      <c r="K95">
        <v>1908333</v>
      </c>
    </row>
    <row r="96" spans="4:11" x14ac:dyDescent="0.25">
      <c r="D96">
        <v>1</v>
      </c>
      <c r="E96" t="s">
        <v>35</v>
      </c>
      <c r="F96" t="s">
        <v>271</v>
      </c>
      <c r="G96">
        <v>93</v>
      </c>
      <c r="H96" t="s">
        <v>272</v>
      </c>
      <c r="I96">
        <v>184</v>
      </c>
      <c r="J96" t="s">
        <v>273</v>
      </c>
      <c r="K96">
        <v>1909030</v>
      </c>
    </row>
    <row r="97" spans="4:11" x14ac:dyDescent="0.25">
      <c r="D97">
        <v>1</v>
      </c>
      <c r="E97" t="s">
        <v>24</v>
      </c>
      <c r="F97" t="s">
        <v>274</v>
      </c>
      <c r="G97">
        <v>72</v>
      </c>
      <c r="H97" t="s">
        <v>275</v>
      </c>
      <c r="I97">
        <v>266</v>
      </c>
      <c r="J97" t="s">
        <v>276</v>
      </c>
      <c r="K97">
        <v>1909294</v>
      </c>
    </row>
    <row r="98" spans="4:11" x14ac:dyDescent="0.25">
      <c r="D98">
        <v>1</v>
      </c>
      <c r="E98" t="s">
        <v>107</v>
      </c>
      <c r="F98" t="s">
        <v>274</v>
      </c>
      <c r="G98">
        <v>72</v>
      </c>
      <c r="H98" t="s">
        <v>275</v>
      </c>
      <c r="I98">
        <v>270</v>
      </c>
      <c r="J98" t="s">
        <v>276</v>
      </c>
      <c r="K98">
        <v>1909294</v>
      </c>
    </row>
    <row r="99" spans="4:11" x14ac:dyDescent="0.25">
      <c r="D99">
        <v>1</v>
      </c>
      <c r="E99" t="s">
        <v>24</v>
      </c>
      <c r="F99" t="s">
        <v>274</v>
      </c>
      <c r="G99">
        <v>72</v>
      </c>
      <c r="H99" t="s">
        <v>275</v>
      </c>
      <c r="I99">
        <v>268</v>
      </c>
      <c r="J99" t="s">
        <v>276</v>
      </c>
      <c r="K99">
        <v>1909294</v>
      </c>
    </row>
    <row r="100" spans="4:11" x14ac:dyDescent="0.25">
      <c r="D100">
        <v>1</v>
      </c>
      <c r="E100" t="s">
        <v>155</v>
      </c>
      <c r="F100" t="s">
        <v>274</v>
      </c>
      <c r="G100">
        <v>72</v>
      </c>
      <c r="H100" t="s">
        <v>275</v>
      </c>
      <c r="I100">
        <v>269</v>
      </c>
      <c r="J100" t="s">
        <v>276</v>
      </c>
      <c r="K100">
        <v>1909294</v>
      </c>
    </row>
    <row r="101" spans="4:11" x14ac:dyDescent="0.25">
      <c r="D101">
        <v>1</v>
      </c>
      <c r="E101" t="s">
        <v>16</v>
      </c>
      <c r="F101" t="s">
        <v>277</v>
      </c>
      <c r="G101">
        <v>110</v>
      </c>
      <c r="H101" t="s">
        <v>278</v>
      </c>
      <c r="I101">
        <v>25</v>
      </c>
      <c r="J101" t="s">
        <v>279</v>
      </c>
      <c r="K101">
        <v>1910412</v>
      </c>
    </row>
    <row r="102" spans="4:11" x14ac:dyDescent="0.25">
      <c r="D102">
        <v>1</v>
      </c>
      <c r="E102" t="s">
        <v>16</v>
      </c>
      <c r="F102" t="s">
        <v>280</v>
      </c>
      <c r="G102">
        <v>110</v>
      </c>
      <c r="H102" t="s">
        <v>281</v>
      </c>
      <c r="I102">
        <v>49</v>
      </c>
      <c r="J102" t="s">
        <v>282</v>
      </c>
      <c r="K102">
        <v>1910451</v>
      </c>
    </row>
    <row r="103" spans="4:11" x14ac:dyDescent="0.25">
      <c r="D103">
        <v>1</v>
      </c>
      <c r="E103" t="s">
        <v>43</v>
      </c>
      <c r="F103" t="s">
        <v>283</v>
      </c>
      <c r="G103">
        <v>110</v>
      </c>
      <c r="H103" t="s">
        <v>284</v>
      </c>
      <c r="I103">
        <v>50</v>
      </c>
      <c r="J103" t="s">
        <v>285</v>
      </c>
      <c r="K103">
        <v>1910560</v>
      </c>
    </row>
    <row r="104" spans="4:11" x14ac:dyDescent="0.25">
      <c r="D104">
        <v>1</v>
      </c>
      <c r="E104" t="s">
        <v>35</v>
      </c>
      <c r="F104" t="s">
        <v>283</v>
      </c>
      <c r="G104">
        <v>110</v>
      </c>
      <c r="H104" t="s">
        <v>284</v>
      </c>
      <c r="I104">
        <v>51</v>
      </c>
      <c r="J104" t="s">
        <v>285</v>
      </c>
      <c r="K104">
        <v>1910560</v>
      </c>
    </row>
    <row r="105" spans="4:11" x14ac:dyDescent="0.25">
      <c r="D105">
        <v>1</v>
      </c>
      <c r="E105" t="s">
        <v>50</v>
      </c>
      <c r="F105" t="s">
        <v>286</v>
      </c>
      <c r="G105">
        <v>106</v>
      </c>
      <c r="H105" t="s">
        <v>287</v>
      </c>
      <c r="I105">
        <v>38</v>
      </c>
      <c r="J105" t="s">
        <v>288</v>
      </c>
      <c r="K105">
        <v>1912322</v>
      </c>
    </row>
    <row r="106" spans="4:11" x14ac:dyDescent="0.25">
      <c r="D106">
        <v>1</v>
      </c>
      <c r="E106" t="s">
        <v>12</v>
      </c>
      <c r="F106" t="s">
        <v>289</v>
      </c>
      <c r="G106">
        <v>77</v>
      </c>
      <c r="H106" t="s">
        <v>290</v>
      </c>
      <c r="I106">
        <v>116</v>
      </c>
      <c r="J106" t="s">
        <v>291</v>
      </c>
      <c r="K106">
        <v>1912546</v>
      </c>
    </row>
    <row r="107" spans="4:11" x14ac:dyDescent="0.25">
      <c r="D107">
        <v>1</v>
      </c>
      <c r="E107" t="s">
        <v>12</v>
      </c>
      <c r="F107" t="s">
        <v>292</v>
      </c>
      <c r="G107">
        <v>42</v>
      </c>
      <c r="H107" t="s">
        <v>293</v>
      </c>
      <c r="I107">
        <v>215</v>
      </c>
      <c r="J107" t="s">
        <v>292</v>
      </c>
      <c r="K107">
        <v>1913899</v>
      </c>
    </row>
    <row r="108" spans="4:11" x14ac:dyDescent="0.25">
      <c r="D108">
        <v>1</v>
      </c>
      <c r="E108" t="s">
        <v>107</v>
      </c>
      <c r="F108" t="s">
        <v>294</v>
      </c>
      <c r="G108">
        <v>42</v>
      </c>
      <c r="H108" t="s">
        <v>295</v>
      </c>
      <c r="I108">
        <v>217</v>
      </c>
      <c r="J108" t="s">
        <v>294</v>
      </c>
      <c r="K108">
        <v>1913907</v>
      </c>
    </row>
    <row r="109" spans="4:11" x14ac:dyDescent="0.25">
      <c r="D109">
        <v>1</v>
      </c>
      <c r="E109" t="s">
        <v>43</v>
      </c>
      <c r="F109" t="s">
        <v>296</v>
      </c>
      <c r="G109">
        <v>42</v>
      </c>
      <c r="H109" t="s">
        <v>297</v>
      </c>
      <c r="I109">
        <v>218</v>
      </c>
      <c r="J109" t="s">
        <v>296</v>
      </c>
      <c r="K109">
        <v>1913913</v>
      </c>
    </row>
    <row r="110" spans="4:11" x14ac:dyDescent="0.25">
      <c r="D110">
        <v>1</v>
      </c>
      <c r="E110" t="s">
        <v>255</v>
      </c>
      <c r="F110" t="s">
        <v>298</v>
      </c>
      <c r="G110">
        <v>42</v>
      </c>
      <c r="H110" t="s">
        <v>299</v>
      </c>
      <c r="I110">
        <v>216</v>
      </c>
      <c r="J110" t="s">
        <v>298</v>
      </c>
      <c r="K110">
        <v>1913922</v>
      </c>
    </row>
    <row r="111" spans="4:11" x14ac:dyDescent="0.25">
      <c r="D111">
        <v>1</v>
      </c>
      <c r="E111" t="s">
        <v>64</v>
      </c>
      <c r="F111" t="s">
        <v>300</v>
      </c>
      <c r="G111">
        <v>82</v>
      </c>
      <c r="H111" t="s">
        <v>301</v>
      </c>
      <c r="I111">
        <v>147</v>
      </c>
      <c r="J111" t="s">
        <v>302</v>
      </c>
      <c r="K111">
        <v>1914912</v>
      </c>
    </row>
    <row r="112" spans="4:11" x14ac:dyDescent="0.25">
      <c r="D112">
        <v>1</v>
      </c>
      <c r="E112" t="s">
        <v>12</v>
      </c>
      <c r="F112" t="s">
        <v>303</v>
      </c>
      <c r="G112">
        <v>82</v>
      </c>
      <c r="H112" t="s">
        <v>304</v>
      </c>
      <c r="I112">
        <v>143</v>
      </c>
      <c r="J112" t="s">
        <v>305</v>
      </c>
      <c r="K112">
        <v>1914921</v>
      </c>
    </row>
    <row r="113" spans="4:11" x14ac:dyDescent="0.25">
      <c r="D113">
        <v>1</v>
      </c>
      <c r="E113" t="s">
        <v>12</v>
      </c>
      <c r="F113" t="s">
        <v>306</v>
      </c>
      <c r="G113">
        <v>72</v>
      </c>
      <c r="H113" t="s">
        <v>307</v>
      </c>
      <c r="I113">
        <v>150</v>
      </c>
      <c r="J113" t="s">
        <v>308</v>
      </c>
      <c r="K113">
        <v>1916223</v>
      </c>
    </row>
    <row r="114" spans="4:11" x14ac:dyDescent="0.25">
      <c r="D114">
        <v>1</v>
      </c>
      <c r="E114" t="s">
        <v>24</v>
      </c>
      <c r="F114" t="s">
        <v>309</v>
      </c>
      <c r="G114">
        <v>9</v>
      </c>
      <c r="H114" t="s">
        <v>310</v>
      </c>
      <c r="I114">
        <v>113</v>
      </c>
      <c r="J114" t="s">
        <v>311</v>
      </c>
      <c r="K114">
        <v>1916809</v>
      </c>
    </row>
    <row r="115" spans="4:11" x14ac:dyDescent="0.25">
      <c r="D115">
        <v>1</v>
      </c>
      <c r="E115" t="s">
        <v>16</v>
      </c>
      <c r="F115" t="s">
        <v>312</v>
      </c>
      <c r="G115">
        <v>42</v>
      </c>
      <c r="H115" t="s">
        <v>313</v>
      </c>
      <c r="I115">
        <v>310</v>
      </c>
      <c r="J115" t="s">
        <v>312</v>
      </c>
      <c r="K115">
        <v>1918369</v>
      </c>
    </row>
    <row r="116" spans="4:11" x14ac:dyDescent="0.25">
      <c r="D116">
        <v>1</v>
      </c>
      <c r="E116" t="s">
        <v>50</v>
      </c>
      <c r="F116" t="s">
        <v>314</v>
      </c>
      <c r="G116">
        <v>42</v>
      </c>
      <c r="H116" t="s">
        <v>315</v>
      </c>
      <c r="I116">
        <v>307</v>
      </c>
      <c r="J116" t="s">
        <v>314</v>
      </c>
      <c r="K116">
        <v>1918372</v>
      </c>
    </row>
    <row r="117" spans="4:11" x14ac:dyDescent="0.25">
      <c r="D117">
        <v>1</v>
      </c>
      <c r="E117" t="s">
        <v>31</v>
      </c>
      <c r="F117" t="s">
        <v>316</v>
      </c>
      <c r="G117">
        <v>42</v>
      </c>
      <c r="H117" t="s">
        <v>317</v>
      </c>
      <c r="I117">
        <v>306</v>
      </c>
      <c r="J117" t="s">
        <v>316</v>
      </c>
      <c r="K117">
        <v>1918376</v>
      </c>
    </row>
    <row r="118" spans="4:11" x14ac:dyDescent="0.25">
      <c r="D118">
        <v>1</v>
      </c>
      <c r="E118" t="s">
        <v>50</v>
      </c>
      <c r="F118" t="s">
        <v>318</v>
      </c>
      <c r="G118">
        <v>42</v>
      </c>
      <c r="H118" t="s">
        <v>319</v>
      </c>
      <c r="I118">
        <v>302</v>
      </c>
      <c r="J118" t="s">
        <v>318</v>
      </c>
      <c r="K118">
        <v>1918377</v>
      </c>
    </row>
    <row r="119" spans="4:11" x14ac:dyDescent="0.25">
      <c r="D119">
        <v>1</v>
      </c>
      <c r="E119" t="s">
        <v>54</v>
      </c>
      <c r="F119" t="s">
        <v>320</v>
      </c>
      <c r="G119">
        <v>42</v>
      </c>
      <c r="H119" t="s">
        <v>321</v>
      </c>
      <c r="I119">
        <v>303</v>
      </c>
      <c r="J119" t="s">
        <v>320</v>
      </c>
      <c r="K119">
        <v>1918379</v>
      </c>
    </row>
    <row r="120" spans="4:11" x14ac:dyDescent="0.25">
      <c r="D120">
        <v>1</v>
      </c>
      <c r="E120" t="s">
        <v>39</v>
      </c>
      <c r="F120" t="s">
        <v>322</v>
      </c>
      <c r="G120">
        <v>42</v>
      </c>
      <c r="H120" t="s">
        <v>323</v>
      </c>
      <c r="I120">
        <v>10</v>
      </c>
      <c r="J120" t="s">
        <v>322</v>
      </c>
      <c r="K120">
        <v>1918856</v>
      </c>
    </row>
    <row r="121" spans="4:11" x14ac:dyDescent="0.25">
      <c r="D121">
        <v>1</v>
      </c>
      <c r="E121" t="s">
        <v>43</v>
      </c>
      <c r="F121" t="s">
        <v>324</v>
      </c>
      <c r="G121">
        <v>42</v>
      </c>
      <c r="H121" t="s">
        <v>325</v>
      </c>
      <c r="I121">
        <v>12</v>
      </c>
      <c r="J121" t="s">
        <v>324</v>
      </c>
      <c r="K121">
        <v>1918865</v>
      </c>
    </row>
    <row r="122" spans="4:11" x14ac:dyDescent="0.25">
      <c r="D122">
        <v>1</v>
      </c>
      <c r="E122" t="s">
        <v>255</v>
      </c>
      <c r="F122" t="s">
        <v>326</v>
      </c>
      <c r="G122">
        <v>42</v>
      </c>
      <c r="H122" t="s">
        <v>327</v>
      </c>
      <c r="I122">
        <v>65</v>
      </c>
      <c r="J122" t="s">
        <v>326</v>
      </c>
      <c r="K122">
        <v>1919002</v>
      </c>
    </row>
    <row r="123" spans="4:11" x14ac:dyDescent="0.25">
      <c r="D123">
        <v>1</v>
      </c>
      <c r="E123" t="s">
        <v>24</v>
      </c>
      <c r="F123" t="s">
        <v>328</v>
      </c>
      <c r="G123">
        <v>108</v>
      </c>
      <c r="H123" t="s">
        <v>329</v>
      </c>
      <c r="I123">
        <v>7</v>
      </c>
      <c r="J123" t="s">
        <v>328</v>
      </c>
      <c r="K123">
        <v>1919480</v>
      </c>
    </row>
    <row r="124" spans="4:11" x14ac:dyDescent="0.25">
      <c r="D124">
        <v>1</v>
      </c>
      <c r="E124" t="s">
        <v>43</v>
      </c>
      <c r="F124" t="s">
        <v>328</v>
      </c>
      <c r="G124">
        <v>108</v>
      </c>
      <c r="H124" t="s">
        <v>329</v>
      </c>
      <c r="I124">
        <v>13</v>
      </c>
      <c r="J124" t="s">
        <v>328</v>
      </c>
      <c r="K124">
        <v>1919480</v>
      </c>
    </row>
    <row r="125" spans="4:11" x14ac:dyDescent="0.25">
      <c r="D125">
        <v>1</v>
      </c>
      <c r="E125" t="s">
        <v>16</v>
      </c>
      <c r="F125" t="s">
        <v>330</v>
      </c>
      <c r="G125">
        <v>108</v>
      </c>
      <c r="H125" t="s">
        <v>331</v>
      </c>
      <c r="I125">
        <v>63</v>
      </c>
      <c r="J125" t="s">
        <v>330</v>
      </c>
      <c r="K125">
        <v>1919914</v>
      </c>
    </row>
    <row r="126" spans="4:11" x14ac:dyDescent="0.25">
      <c r="D126">
        <v>1</v>
      </c>
      <c r="E126" t="s">
        <v>35</v>
      </c>
      <c r="F126" t="s">
        <v>332</v>
      </c>
      <c r="G126">
        <v>82</v>
      </c>
      <c r="H126" t="s">
        <v>333</v>
      </c>
      <c r="I126">
        <v>60</v>
      </c>
      <c r="J126" t="s">
        <v>334</v>
      </c>
      <c r="K126">
        <v>1920183</v>
      </c>
    </row>
    <row r="127" spans="4:11" x14ac:dyDescent="0.25">
      <c r="D127">
        <v>1</v>
      </c>
      <c r="E127" t="s">
        <v>24</v>
      </c>
      <c r="F127" t="s">
        <v>335</v>
      </c>
      <c r="G127">
        <v>42</v>
      </c>
      <c r="H127" t="s">
        <v>336</v>
      </c>
      <c r="I127">
        <v>112</v>
      </c>
      <c r="J127" t="s">
        <v>335</v>
      </c>
      <c r="K127">
        <v>1920569</v>
      </c>
    </row>
    <row r="128" spans="4:11" x14ac:dyDescent="0.25">
      <c r="D128">
        <v>1</v>
      </c>
      <c r="E128" t="s">
        <v>43</v>
      </c>
      <c r="F128" t="s">
        <v>337</v>
      </c>
      <c r="G128">
        <v>77</v>
      </c>
      <c r="H128" t="s">
        <v>338</v>
      </c>
      <c r="I128">
        <v>48</v>
      </c>
      <c r="J128" t="s">
        <v>339</v>
      </c>
      <c r="K128">
        <v>1924429</v>
      </c>
    </row>
    <row r="129" spans="4:11" x14ac:dyDescent="0.25">
      <c r="D129">
        <v>1</v>
      </c>
      <c r="E129" t="s">
        <v>255</v>
      </c>
      <c r="F129" t="s">
        <v>340</v>
      </c>
      <c r="G129">
        <v>104</v>
      </c>
      <c r="H129" t="s">
        <v>341</v>
      </c>
      <c r="I129">
        <v>173</v>
      </c>
      <c r="J129" t="s">
        <v>342</v>
      </c>
      <c r="K129">
        <v>1925349</v>
      </c>
    </row>
    <row r="130" spans="4:11" x14ac:dyDescent="0.25">
      <c r="D130">
        <v>1</v>
      </c>
      <c r="E130" t="s">
        <v>107</v>
      </c>
      <c r="F130" t="s">
        <v>343</v>
      </c>
      <c r="G130">
        <v>104</v>
      </c>
      <c r="H130" t="s">
        <v>344</v>
      </c>
      <c r="I130">
        <v>265</v>
      </c>
      <c r="J130" t="s">
        <v>345</v>
      </c>
      <c r="K130">
        <v>1925633</v>
      </c>
    </row>
    <row r="131" spans="4:11" x14ac:dyDescent="0.25">
      <c r="D131">
        <v>1</v>
      </c>
      <c r="E131" t="s">
        <v>12</v>
      </c>
      <c r="F131" t="s">
        <v>346</v>
      </c>
      <c r="G131">
        <v>104</v>
      </c>
      <c r="H131" t="s">
        <v>347</v>
      </c>
      <c r="I131">
        <v>263</v>
      </c>
      <c r="J131" t="s">
        <v>348</v>
      </c>
      <c r="K131">
        <v>1925635</v>
      </c>
    </row>
    <row r="132" spans="4:11" x14ac:dyDescent="0.25">
      <c r="D132">
        <v>1</v>
      </c>
      <c r="E132" t="s">
        <v>64</v>
      </c>
      <c r="F132" t="s">
        <v>349</v>
      </c>
      <c r="G132">
        <v>31</v>
      </c>
      <c r="H132" t="s">
        <v>350</v>
      </c>
      <c r="I132">
        <v>53</v>
      </c>
      <c r="J132" t="s">
        <v>351</v>
      </c>
      <c r="K132">
        <v>1926102</v>
      </c>
    </row>
    <row r="133" spans="4:11" x14ac:dyDescent="0.25">
      <c r="D133">
        <v>1</v>
      </c>
      <c r="E133" t="s">
        <v>16</v>
      </c>
      <c r="F133" t="s">
        <v>352</v>
      </c>
      <c r="G133">
        <v>153</v>
      </c>
      <c r="H133" t="s">
        <v>353</v>
      </c>
      <c r="I133">
        <v>33</v>
      </c>
      <c r="J133" t="s">
        <v>354</v>
      </c>
      <c r="K133">
        <v>1926713</v>
      </c>
    </row>
    <row r="134" spans="4:11" x14ac:dyDescent="0.25">
      <c r="D134">
        <v>1</v>
      </c>
      <c r="E134" t="s">
        <v>16</v>
      </c>
      <c r="F134" t="s">
        <v>355</v>
      </c>
      <c r="G134">
        <v>42</v>
      </c>
      <c r="H134" t="s">
        <v>356</v>
      </c>
      <c r="I134">
        <v>93</v>
      </c>
      <c r="J134" t="s">
        <v>355</v>
      </c>
      <c r="K134">
        <v>1926826</v>
      </c>
    </row>
    <row r="135" spans="4:11" x14ac:dyDescent="0.25">
      <c r="D135">
        <v>1</v>
      </c>
      <c r="E135" t="s">
        <v>54</v>
      </c>
      <c r="F135" t="s">
        <v>357</v>
      </c>
      <c r="G135">
        <v>42</v>
      </c>
      <c r="H135" t="s">
        <v>358</v>
      </c>
      <c r="I135">
        <v>89</v>
      </c>
      <c r="J135" t="s">
        <v>357</v>
      </c>
      <c r="K135">
        <v>1926832</v>
      </c>
    </row>
    <row r="136" spans="4:11" x14ac:dyDescent="0.25">
      <c r="D136">
        <v>1</v>
      </c>
      <c r="E136" t="s">
        <v>35</v>
      </c>
      <c r="F136" t="s">
        <v>359</v>
      </c>
      <c r="G136">
        <v>42</v>
      </c>
      <c r="H136" t="s">
        <v>360</v>
      </c>
      <c r="I136">
        <v>88</v>
      </c>
      <c r="J136" t="s">
        <v>359</v>
      </c>
      <c r="K136">
        <v>1926833</v>
      </c>
    </row>
    <row r="137" spans="4:11" x14ac:dyDescent="0.25">
      <c r="D137">
        <v>1</v>
      </c>
      <c r="E137" t="s">
        <v>183</v>
      </c>
      <c r="F137" t="s">
        <v>361</v>
      </c>
      <c r="G137">
        <v>113</v>
      </c>
      <c r="H137" t="s">
        <v>362</v>
      </c>
      <c r="I137">
        <v>153</v>
      </c>
      <c r="J137" t="s">
        <v>361</v>
      </c>
      <c r="K137">
        <v>1927149</v>
      </c>
    </row>
    <row r="138" spans="4:11" x14ac:dyDescent="0.25">
      <c r="D138">
        <v>1</v>
      </c>
      <c r="E138" t="s">
        <v>20</v>
      </c>
      <c r="F138" t="s">
        <v>363</v>
      </c>
      <c r="G138">
        <v>102</v>
      </c>
      <c r="H138" t="s">
        <v>364</v>
      </c>
      <c r="I138">
        <v>205</v>
      </c>
      <c r="J138" t="s">
        <v>365</v>
      </c>
      <c r="K138">
        <v>1927680</v>
      </c>
    </row>
    <row r="139" spans="4:11" x14ac:dyDescent="0.25">
      <c r="D139">
        <v>1</v>
      </c>
      <c r="E139" t="s">
        <v>20</v>
      </c>
      <c r="F139" t="s">
        <v>366</v>
      </c>
      <c r="G139">
        <v>42</v>
      </c>
      <c r="H139" t="s">
        <v>367</v>
      </c>
      <c r="I139">
        <v>289</v>
      </c>
      <c r="J139" t="s">
        <v>366</v>
      </c>
      <c r="K139">
        <v>1927709</v>
      </c>
    </row>
    <row r="140" spans="4:11" x14ac:dyDescent="0.25">
      <c r="D140">
        <v>1</v>
      </c>
      <c r="E140" t="s">
        <v>255</v>
      </c>
      <c r="F140" t="s">
        <v>368</v>
      </c>
      <c r="G140">
        <v>61</v>
      </c>
      <c r="H140" t="s">
        <v>369</v>
      </c>
      <c r="I140">
        <v>42</v>
      </c>
      <c r="J140" t="s">
        <v>370</v>
      </c>
      <c r="K140">
        <v>1929767</v>
      </c>
    </row>
    <row r="141" spans="4:11" x14ac:dyDescent="0.25">
      <c r="D141">
        <v>1</v>
      </c>
      <c r="E141" t="s">
        <v>16</v>
      </c>
      <c r="F141" t="s">
        <v>371</v>
      </c>
      <c r="G141">
        <v>62</v>
      </c>
      <c r="H141" t="s">
        <v>372</v>
      </c>
      <c r="I141">
        <v>186</v>
      </c>
      <c r="J141" t="s">
        <v>373</v>
      </c>
      <c r="K141">
        <v>1932649</v>
      </c>
    </row>
    <row r="142" spans="4:11" x14ac:dyDescent="0.25">
      <c r="D142">
        <v>1</v>
      </c>
      <c r="E142" t="s">
        <v>183</v>
      </c>
      <c r="F142" t="s">
        <v>374</v>
      </c>
      <c r="G142">
        <v>109</v>
      </c>
      <c r="H142" t="s">
        <v>375</v>
      </c>
      <c r="I142">
        <v>175</v>
      </c>
      <c r="J142" t="s">
        <v>376</v>
      </c>
      <c r="K142">
        <v>1935408</v>
      </c>
    </row>
    <row r="143" spans="4:11" x14ac:dyDescent="0.25">
      <c r="D143">
        <v>1</v>
      </c>
      <c r="E143" t="s">
        <v>31</v>
      </c>
      <c r="F143" t="s">
        <v>377</v>
      </c>
      <c r="G143">
        <v>93</v>
      </c>
      <c r="H143" t="s">
        <v>378</v>
      </c>
      <c r="I143">
        <v>185</v>
      </c>
      <c r="J143" t="s">
        <v>379</v>
      </c>
      <c r="K143">
        <v>1936619</v>
      </c>
    </row>
    <row r="145" spans="4:11" x14ac:dyDescent="0.25">
      <c r="D145">
        <v>1</v>
      </c>
      <c r="E145" t="s">
        <v>54</v>
      </c>
      <c r="F145" t="s">
        <v>380</v>
      </c>
      <c r="G145">
        <v>29</v>
      </c>
      <c r="H145" t="s">
        <v>381</v>
      </c>
      <c r="I145">
        <v>23</v>
      </c>
      <c r="J145" t="s">
        <v>382</v>
      </c>
      <c r="K145">
        <v>1936983</v>
      </c>
    </row>
    <row r="146" spans="4:11" x14ac:dyDescent="0.25">
      <c r="D146">
        <v>1</v>
      </c>
      <c r="E146" t="s">
        <v>155</v>
      </c>
      <c r="F146" t="s">
        <v>383</v>
      </c>
      <c r="G146">
        <v>3</v>
      </c>
      <c r="H146" t="s">
        <v>384</v>
      </c>
      <c r="I146">
        <v>293</v>
      </c>
      <c r="J146" t="s">
        <v>385</v>
      </c>
      <c r="K146">
        <v>1937347</v>
      </c>
    </row>
    <row r="147" spans="4:11" x14ac:dyDescent="0.25">
      <c r="D147">
        <v>1</v>
      </c>
      <c r="E147" t="s">
        <v>39</v>
      </c>
      <c r="F147" t="s">
        <v>386</v>
      </c>
      <c r="G147">
        <v>41</v>
      </c>
      <c r="H147" t="s">
        <v>387</v>
      </c>
      <c r="I147">
        <v>226</v>
      </c>
      <c r="J147" t="s">
        <v>388</v>
      </c>
      <c r="K147">
        <v>1937878</v>
      </c>
    </row>
    <row r="148" spans="4:11" x14ac:dyDescent="0.25">
      <c r="D148">
        <v>1</v>
      </c>
      <c r="E148" t="s">
        <v>16</v>
      </c>
      <c r="F148" t="s">
        <v>389</v>
      </c>
      <c r="G148">
        <v>153</v>
      </c>
      <c r="H148" t="s">
        <v>390</v>
      </c>
      <c r="I148">
        <v>163</v>
      </c>
      <c r="J148" t="s">
        <v>391</v>
      </c>
      <c r="K148">
        <v>1939553</v>
      </c>
    </row>
    <row r="149" spans="4:11" x14ac:dyDescent="0.25">
      <c r="D149">
        <v>1</v>
      </c>
      <c r="E149" t="s">
        <v>50</v>
      </c>
      <c r="F149" t="s">
        <v>392</v>
      </c>
      <c r="G149">
        <v>108</v>
      </c>
      <c r="H149" t="s">
        <v>393</v>
      </c>
      <c r="I149">
        <v>314</v>
      </c>
      <c r="J149" t="s">
        <v>392</v>
      </c>
      <c r="K149">
        <v>1939692</v>
      </c>
    </row>
    <row r="150" spans="4:11" x14ac:dyDescent="0.25">
      <c r="D150">
        <v>1</v>
      </c>
      <c r="E150" t="s">
        <v>31</v>
      </c>
      <c r="F150" t="s">
        <v>394</v>
      </c>
      <c r="G150">
        <v>108</v>
      </c>
      <c r="H150" t="s">
        <v>395</v>
      </c>
      <c r="I150">
        <v>325</v>
      </c>
      <c r="J150" t="s">
        <v>394</v>
      </c>
      <c r="K150">
        <v>1939700</v>
      </c>
    </row>
    <row r="151" spans="4:11" x14ac:dyDescent="0.25">
      <c r="D151">
        <v>1</v>
      </c>
      <c r="E151" t="s">
        <v>31</v>
      </c>
      <c r="F151" t="s">
        <v>396</v>
      </c>
      <c r="G151">
        <v>108</v>
      </c>
      <c r="H151" t="s">
        <v>397</v>
      </c>
      <c r="I151">
        <v>323</v>
      </c>
      <c r="J151" t="s">
        <v>396</v>
      </c>
      <c r="K151">
        <v>1939701</v>
      </c>
    </row>
    <row r="152" spans="4:11" x14ac:dyDescent="0.25">
      <c r="D152">
        <v>1</v>
      </c>
      <c r="E152" t="s">
        <v>16</v>
      </c>
      <c r="F152" t="s">
        <v>398</v>
      </c>
      <c r="G152">
        <v>108</v>
      </c>
      <c r="H152" t="s">
        <v>399</v>
      </c>
      <c r="I152">
        <v>321</v>
      </c>
      <c r="J152" t="s">
        <v>398</v>
      </c>
      <c r="K152">
        <v>1939702</v>
      </c>
    </row>
    <row r="153" spans="4:11" x14ac:dyDescent="0.25">
      <c r="D153">
        <v>1</v>
      </c>
      <c r="E153" t="s">
        <v>35</v>
      </c>
      <c r="F153" t="s">
        <v>400</v>
      </c>
      <c r="G153">
        <v>108</v>
      </c>
      <c r="H153" t="s">
        <v>401</v>
      </c>
      <c r="I153">
        <v>320</v>
      </c>
      <c r="J153" t="s">
        <v>400</v>
      </c>
      <c r="K153">
        <v>1939710</v>
      </c>
    </row>
    <row r="154" spans="4:11" x14ac:dyDescent="0.25">
      <c r="D154">
        <v>1</v>
      </c>
      <c r="E154" t="s">
        <v>54</v>
      </c>
      <c r="F154" t="s">
        <v>402</v>
      </c>
      <c r="G154">
        <v>108</v>
      </c>
      <c r="H154" t="s">
        <v>403</v>
      </c>
      <c r="I154">
        <v>319</v>
      </c>
      <c r="J154" t="s">
        <v>402</v>
      </c>
      <c r="K154">
        <v>1939711</v>
      </c>
    </row>
    <row r="155" spans="4:11" x14ac:dyDescent="0.25">
      <c r="D155">
        <v>1</v>
      </c>
      <c r="E155" t="s">
        <v>64</v>
      </c>
      <c r="F155" t="s">
        <v>404</v>
      </c>
      <c r="G155">
        <v>108</v>
      </c>
      <c r="H155" t="s">
        <v>405</v>
      </c>
      <c r="I155">
        <v>312</v>
      </c>
      <c r="J155" t="s">
        <v>404</v>
      </c>
      <c r="K155">
        <v>1939713</v>
      </c>
    </row>
    <row r="156" spans="4:11" x14ac:dyDescent="0.25">
      <c r="D156">
        <v>1</v>
      </c>
      <c r="E156" t="s">
        <v>35</v>
      </c>
      <c r="F156" t="s">
        <v>406</v>
      </c>
      <c r="G156">
        <v>108</v>
      </c>
      <c r="H156" t="s">
        <v>407</v>
      </c>
      <c r="I156">
        <v>324</v>
      </c>
      <c r="J156" t="s">
        <v>406</v>
      </c>
      <c r="K156">
        <v>1939714</v>
      </c>
    </row>
    <row r="157" spans="4:11" x14ac:dyDescent="0.25">
      <c r="D157">
        <v>1</v>
      </c>
      <c r="E157" t="s">
        <v>50</v>
      </c>
      <c r="F157" t="s">
        <v>408</v>
      </c>
      <c r="G157">
        <v>13</v>
      </c>
      <c r="H157" t="s">
        <v>409</v>
      </c>
      <c r="I157">
        <v>57</v>
      </c>
      <c r="J157" t="s">
        <v>410</v>
      </c>
      <c r="K157">
        <v>1939839</v>
      </c>
    </row>
    <row r="158" spans="4:11" x14ac:dyDescent="0.25">
      <c r="D158">
        <v>1</v>
      </c>
      <c r="E158" t="s">
        <v>155</v>
      </c>
      <c r="F158" t="s">
        <v>411</v>
      </c>
      <c r="G158">
        <v>13</v>
      </c>
      <c r="H158" t="s">
        <v>412</v>
      </c>
      <c r="I158">
        <v>114</v>
      </c>
      <c r="J158" t="s">
        <v>413</v>
      </c>
      <c r="K158">
        <v>1940127</v>
      </c>
    </row>
    <row r="159" spans="4:11" x14ac:dyDescent="0.25">
      <c r="D159">
        <v>1</v>
      </c>
      <c r="E159" t="s">
        <v>183</v>
      </c>
      <c r="F159" t="s">
        <v>414</v>
      </c>
      <c r="G159">
        <v>13</v>
      </c>
      <c r="H159" t="s">
        <v>415</v>
      </c>
      <c r="I159">
        <v>121</v>
      </c>
      <c r="J159" t="s">
        <v>416</v>
      </c>
      <c r="K159">
        <v>1940173</v>
      </c>
    </row>
    <row r="160" spans="4:11" x14ac:dyDescent="0.25">
      <c r="D160">
        <v>1</v>
      </c>
      <c r="E160" t="s">
        <v>107</v>
      </c>
      <c r="F160" t="s">
        <v>417</v>
      </c>
      <c r="G160">
        <v>13</v>
      </c>
      <c r="H160" t="s">
        <v>418</v>
      </c>
      <c r="I160">
        <v>97</v>
      </c>
      <c r="J160" t="s">
        <v>419</v>
      </c>
      <c r="K160">
        <v>1940205</v>
      </c>
    </row>
    <row r="161" spans="4:11" x14ac:dyDescent="0.25">
      <c r="D161">
        <v>1</v>
      </c>
      <c r="E161" t="s">
        <v>24</v>
      </c>
      <c r="F161" t="s">
        <v>417</v>
      </c>
      <c r="G161">
        <v>13</v>
      </c>
      <c r="H161" t="s">
        <v>418</v>
      </c>
      <c r="I161">
        <v>99</v>
      </c>
      <c r="J161" t="s">
        <v>419</v>
      </c>
      <c r="K161">
        <v>1940205</v>
      </c>
    </row>
    <row r="162" spans="4:11" x14ac:dyDescent="0.25">
      <c r="D162">
        <v>1</v>
      </c>
      <c r="E162" t="s">
        <v>43</v>
      </c>
      <c r="F162" t="s">
        <v>420</v>
      </c>
      <c r="G162">
        <v>13</v>
      </c>
      <c r="H162" t="s">
        <v>421</v>
      </c>
      <c r="I162">
        <v>101</v>
      </c>
      <c r="J162" t="s">
        <v>422</v>
      </c>
      <c r="K162">
        <v>1940209</v>
      </c>
    </row>
    <row r="163" spans="4:11" x14ac:dyDescent="0.25">
      <c r="D163">
        <v>1</v>
      </c>
      <c r="E163" t="s">
        <v>54</v>
      </c>
      <c r="F163" t="s">
        <v>423</v>
      </c>
      <c r="G163">
        <v>94</v>
      </c>
      <c r="H163" t="s">
        <v>424</v>
      </c>
      <c r="I163">
        <v>237</v>
      </c>
      <c r="J163" t="s">
        <v>425</v>
      </c>
      <c r="K163">
        <v>1940329</v>
      </c>
    </row>
    <row r="164" spans="4:11" x14ac:dyDescent="0.25">
      <c r="D164">
        <v>1</v>
      </c>
      <c r="E164" t="s">
        <v>54</v>
      </c>
      <c r="F164" t="s">
        <v>426</v>
      </c>
      <c r="G164">
        <v>94</v>
      </c>
      <c r="H164" t="s">
        <v>427</v>
      </c>
      <c r="I164">
        <v>308</v>
      </c>
      <c r="J164" t="s">
        <v>428</v>
      </c>
      <c r="K164">
        <v>1941786</v>
      </c>
    </row>
    <row r="165" spans="4:11" x14ac:dyDescent="0.25">
      <c r="D165">
        <v>1</v>
      </c>
      <c r="E165" t="s">
        <v>54</v>
      </c>
      <c r="F165" t="s">
        <v>429</v>
      </c>
      <c r="G165">
        <v>153</v>
      </c>
      <c r="H165" t="s">
        <v>430</v>
      </c>
      <c r="I165">
        <v>130</v>
      </c>
      <c r="J165" t="s">
        <v>431</v>
      </c>
      <c r="K165">
        <v>1945040</v>
      </c>
    </row>
    <row r="166" spans="4:11" x14ac:dyDescent="0.25">
      <c r="D166">
        <v>1</v>
      </c>
      <c r="E166" t="s">
        <v>31</v>
      </c>
      <c r="F166" t="s">
        <v>429</v>
      </c>
      <c r="G166">
        <v>153</v>
      </c>
      <c r="H166" t="s">
        <v>430</v>
      </c>
      <c r="I166">
        <v>129</v>
      </c>
      <c r="J166" t="s">
        <v>431</v>
      </c>
      <c r="K166">
        <v>1945040</v>
      </c>
    </row>
    <row r="167" spans="4:11" x14ac:dyDescent="0.25">
      <c r="D167">
        <v>1</v>
      </c>
      <c r="E167" t="s">
        <v>24</v>
      </c>
      <c r="F167" t="s">
        <v>432</v>
      </c>
      <c r="G167">
        <v>42</v>
      </c>
      <c r="H167" t="s">
        <v>433</v>
      </c>
      <c r="I167">
        <v>258</v>
      </c>
      <c r="J167" t="s">
        <v>432</v>
      </c>
      <c r="K167">
        <v>1945148</v>
      </c>
    </row>
    <row r="168" spans="4:11" x14ac:dyDescent="0.25">
      <c r="D168">
        <v>1</v>
      </c>
      <c r="E168" t="s">
        <v>16</v>
      </c>
      <c r="F168" t="s">
        <v>434</v>
      </c>
      <c r="G168">
        <v>153</v>
      </c>
      <c r="H168" t="s">
        <v>435</v>
      </c>
      <c r="I168">
        <v>107</v>
      </c>
      <c r="J168" t="s">
        <v>436</v>
      </c>
      <c r="K168">
        <v>1945383</v>
      </c>
    </row>
    <row r="169" spans="4:11" x14ac:dyDescent="0.25">
      <c r="D169">
        <v>1</v>
      </c>
      <c r="E169" t="s">
        <v>43</v>
      </c>
      <c r="F169" t="s">
        <v>437</v>
      </c>
      <c r="G169">
        <v>153</v>
      </c>
      <c r="H169" t="s">
        <v>438</v>
      </c>
      <c r="I169">
        <v>100</v>
      </c>
      <c r="J169" t="s">
        <v>439</v>
      </c>
      <c r="K169">
        <v>1945386</v>
      </c>
    </row>
    <row r="170" spans="4:11" x14ac:dyDescent="0.25">
      <c r="D170">
        <v>1</v>
      </c>
      <c r="E170" t="s">
        <v>50</v>
      </c>
      <c r="F170" t="s">
        <v>440</v>
      </c>
      <c r="G170">
        <v>13</v>
      </c>
      <c r="H170" t="s">
        <v>441</v>
      </c>
      <c r="I170">
        <v>207</v>
      </c>
      <c r="J170" t="s">
        <v>442</v>
      </c>
      <c r="K170">
        <v>1945990</v>
      </c>
    </row>
    <row r="171" spans="4:11" x14ac:dyDescent="0.25">
      <c r="D171">
        <v>1</v>
      </c>
      <c r="E171" t="s">
        <v>64</v>
      </c>
      <c r="F171" t="s">
        <v>443</v>
      </c>
      <c r="G171">
        <v>13</v>
      </c>
      <c r="H171" t="s">
        <v>444</v>
      </c>
      <c r="I171">
        <v>232</v>
      </c>
      <c r="J171" t="s">
        <v>445</v>
      </c>
      <c r="K171">
        <v>1946064</v>
      </c>
    </row>
    <row r="172" spans="4:11" x14ac:dyDescent="0.25">
      <c r="D172">
        <v>1</v>
      </c>
      <c r="E172" t="s">
        <v>50</v>
      </c>
      <c r="F172" t="s">
        <v>446</v>
      </c>
      <c r="G172">
        <v>13</v>
      </c>
      <c r="H172" t="s">
        <v>447</v>
      </c>
      <c r="I172">
        <v>233</v>
      </c>
      <c r="J172" t="s">
        <v>448</v>
      </c>
      <c r="K172">
        <v>1946074</v>
      </c>
    </row>
    <row r="173" spans="4:11" x14ac:dyDescent="0.25">
      <c r="D173">
        <v>1</v>
      </c>
      <c r="E173" t="s">
        <v>183</v>
      </c>
      <c r="F173" t="s">
        <v>449</v>
      </c>
      <c r="G173">
        <v>13</v>
      </c>
      <c r="H173" t="s">
        <v>450</v>
      </c>
      <c r="I173">
        <v>243</v>
      </c>
      <c r="J173" t="s">
        <v>451</v>
      </c>
      <c r="K173">
        <v>1946150</v>
      </c>
    </row>
    <row r="174" spans="4:11" x14ac:dyDescent="0.25">
      <c r="D174">
        <v>1</v>
      </c>
      <c r="E174" t="s">
        <v>12</v>
      </c>
      <c r="F174" t="s">
        <v>452</v>
      </c>
      <c r="G174">
        <v>13</v>
      </c>
      <c r="H174" t="s">
        <v>453</v>
      </c>
      <c r="I174">
        <v>242</v>
      </c>
      <c r="J174" t="s">
        <v>454</v>
      </c>
      <c r="K174">
        <v>1946218</v>
      </c>
    </row>
    <row r="175" spans="4:11" x14ac:dyDescent="0.25">
      <c r="D175">
        <v>1</v>
      </c>
      <c r="E175" t="s">
        <v>35</v>
      </c>
      <c r="F175" t="s">
        <v>455</v>
      </c>
      <c r="G175">
        <v>207</v>
      </c>
      <c r="H175" t="s">
        <v>456</v>
      </c>
      <c r="I175">
        <v>282</v>
      </c>
      <c r="J175" t="s">
        <v>457</v>
      </c>
      <c r="K175">
        <v>1947737</v>
      </c>
    </row>
    <row r="176" spans="4:11" x14ac:dyDescent="0.25">
      <c r="D176">
        <v>1</v>
      </c>
      <c r="E176" t="s">
        <v>43</v>
      </c>
      <c r="F176" t="s">
        <v>458</v>
      </c>
      <c r="G176">
        <v>30</v>
      </c>
      <c r="H176" t="s">
        <v>459</v>
      </c>
      <c r="I176">
        <v>19</v>
      </c>
      <c r="J176" t="s">
        <v>460</v>
      </c>
      <c r="K176">
        <v>1953634</v>
      </c>
    </row>
    <row r="177" spans="4:11" x14ac:dyDescent="0.25">
      <c r="D177">
        <v>1</v>
      </c>
      <c r="E177" t="s">
        <v>155</v>
      </c>
      <c r="F177" t="s">
        <v>461</v>
      </c>
      <c r="G177">
        <v>30</v>
      </c>
      <c r="H177" t="s">
        <v>462</v>
      </c>
      <c r="I177">
        <v>174</v>
      </c>
      <c r="J177" t="s">
        <v>463</v>
      </c>
      <c r="K177">
        <v>1953777</v>
      </c>
    </row>
    <row r="178" spans="4:11" x14ac:dyDescent="0.25">
      <c r="D178">
        <v>1</v>
      </c>
      <c r="E178" t="s">
        <v>12</v>
      </c>
      <c r="F178" t="s">
        <v>464</v>
      </c>
      <c r="G178">
        <v>37</v>
      </c>
      <c r="H178" t="s">
        <v>465</v>
      </c>
      <c r="I178">
        <v>170</v>
      </c>
      <c r="J178" t="s">
        <v>466</v>
      </c>
      <c r="K178">
        <v>1955526</v>
      </c>
    </row>
    <row r="179" spans="4:11" x14ac:dyDescent="0.25">
      <c r="D179">
        <v>1</v>
      </c>
      <c r="E179" t="s">
        <v>39</v>
      </c>
      <c r="F179" t="s">
        <v>467</v>
      </c>
      <c r="G179">
        <v>186</v>
      </c>
      <c r="H179" t="s">
        <v>468</v>
      </c>
      <c r="I179">
        <v>288</v>
      </c>
      <c r="J179" t="s">
        <v>469</v>
      </c>
      <c r="K179">
        <v>1956398</v>
      </c>
    </row>
    <row r="180" spans="4:11" x14ac:dyDescent="0.25">
      <c r="D180">
        <v>1</v>
      </c>
      <c r="E180" t="s">
        <v>24</v>
      </c>
      <c r="F180" t="s">
        <v>470</v>
      </c>
      <c r="G180">
        <v>86</v>
      </c>
      <c r="H180" t="s">
        <v>471</v>
      </c>
      <c r="I180">
        <v>225</v>
      </c>
      <c r="J180" t="s">
        <v>472</v>
      </c>
      <c r="K180">
        <v>1958899</v>
      </c>
    </row>
    <row r="181" spans="4:11" x14ac:dyDescent="0.25">
      <c r="D181">
        <v>1</v>
      </c>
      <c r="E181" t="s">
        <v>64</v>
      </c>
      <c r="F181" t="s">
        <v>473</v>
      </c>
      <c r="G181">
        <v>84</v>
      </c>
      <c r="H181" t="s">
        <v>474</v>
      </c>
      <c r="I181">
        <v>35</v>
      </c>
      <c r="J181" t="s">
        <v>475</v>
      </c>
      <c r="K181">
        <v>1961246</v>
      </c>
    </row>
    <row r="182" spans="4:11" x14ac:dyDescent="0.25">
      <c r="D182">
        <v>1</v>
      </c>
      <c r="E182" t="s">
        <v>12</v>
      </c>
      <c r="F182" t="s">
        <v>476</v>
      </c>
      <c r="G182">
        <v>172</v>
      </c>
      <c r="H182" t="s">
        <v>477</v>
      </c>
      <c r="I182">
        <v>248</v>
      </c>
      <c r="J182" t="s">
        <v>478</v>
      </c>
      <c r="K182">
        <v>1962589</v>
      </c>
    </row>
    <row r="183" spans="4:11" x14ac:dyDescent="0.25">
      <c r="D183">
        <v>1</v>
      </c>
      <c r="E183" t="s">
        <v>12</v>
      </c>
      <c r="F183" t="s">
        <v>479</v>
      </c>
      <c r="G183">
        <v>91</v>
      </c>
      <c r="H183" t="s">
        <v>480</v>
      </c>
      <c r="I183">
        <v>152</v>
      </c>
      <c r="J183" t="s">
        <v>479</v>
      </c>
      <c r="K183">
        <v>1963245</v>
      </c>
    </row>
    <row r="184" spans="4:11" x14ac:dyDescent="0.25">
      <c r="D184">
        <v>1</v>
      </c>
      <c r="E184" t="s">
        <v>183</v>
      </c>
      <c r="F184" t="s">
        <v>481</v>
      </c>
      <c r="G184">
        <v>91</v>
      </c>
      <c r="H184" t="s">
        <v>482</v>
      </c>
      <c r="I184">
        <v>148</v>
      </c>
      <c r="J184" t="s">
        <v>481</v>
      </c>
      <c r="K184">
        <v>1963262</v>
      </c>
    </row>
    <row r="185" spans="4:11" x14ac:dyDescent="0.25">
      <c r="D185">
        <v>1</v>
      </c>
      <c r="E185" t="s">
        <v>16</v>
      </c>
      <c r="F185" t="s">
        <v>483</v>
      </c>
      <c r="G185">
        <v>37</v>
      </c>
      <c r="H185" t="s">
        <v>484</v>
      </c>
      <c r="I185">
        <v>110</v>
      </c>
      <c r="J185" t="s">
        <v>485</v>
      </c>
      <c r="K185">
        <v>1964547</v>
      </c>
    </row>
    <row r="186" spans="4:11" x14ac:dyDescent="0.25">
      <c r="D186">
        <v>1</v>
      </c>
      <c r="E186" t="s">
        <v>20</v>
      </c>
      <c r="F186" t="s">
        <v>486</v>
      </c>
      <c r="G186">
        <v>147</v>
      </c>
      <c r="H186" t="s">
        <v>487</v>
      </c>
      <c r="I186">
        <v>195</v>
      </c>
      <c r="J186" t="s">
        <v>488</v>
      </c>
      <c r="K186">
        <v>1965558</v>
      </c>
    </row>
    <row r="187" spans="4:11" x14ac:dyDescent="0.25">
      <c r="D187">
        <v>1</v>
      </c>
      <c r="E187" t="s">
        <v>35</v>
      </c>
      <c r="F187" t="s">
        <v>489</v>
      </c>
      <c r="G187">
        <v>147</v>
      </c>
      <c r="H187" t="s">
        <v>490</v>
      </c>
      <c r="I187">
        <v>123</v>
      </c>
      <c r="J187" t="s">
        <v>491</v>
      </c>
      <c r="K187">
        <v>1969182</v>
      </c>
    </row>
    <row r="188" spans="4:11" x14ac:dyDescent="0.25">
      <c r="D188">
        <v>1</v>
      </c>
      <c r="E188" t="s">
        <v>31</v>
      </c>
      <c r="F188" t="s">
        <v>489</v>
      </c>
      <c r="G188">
        <v>147</v>
      </c>
      <c r="H188" t="s">
        <v>490</v>
      </c>
      <c r="I188">
        <v>124</v>
      </c>
      <c r="J188" t="s">
        <v>491</v>
      </c>
      <c r="K188">
        <v>1969182</v>
      </c>
    </row>
    <row r="189" spans="4:11" x14ac:dyDescent="0.25">
      <c r="D189">
        <v>1</v>
      </c>
      <c r="E189" t="s">
        <v>50</v>
      </c>
      <c r="F189" t="s">
        <v>492</v>
      </c>
      <c r="G189">
        <v>147</v>
      </c>
      <c r="H189" t="s">
        <v>493</v>
      </c>
      <c r="I189">
        <v>211</v>
      </c>
      <c r="J189" t="s">
        <v>494</v>
      </c>
      <c r="K189">
        <v>1970500</v>
      </c>
    </row>
    <row r="190" spans="4:11" x14ac:dyDescent="0.25">
      <c r="D190">
        <v>1</v>
      </c>
      <c r="E190" t="s">
        <v>155</v>
      </c>
      <c r="F190" t="s">
        <v>495</v>
      </c>
      <c r="G190">
        <v>211</v>
      </c>
      <c r="H190" t="s">
        <v>496</v>
      </c>
      <c r="I190">
        <v>28</v>
      </c>
      <c r="J190" t="s">
        <v>497</v>
      </c>
      <c r="K190">
        <v>1970827</v>
      </c>
    </row>
    <row r="191" spans="4:11" x14ac:dyDescent="0.25">
      <c r="D191">
        <v>1</v>
      </c>
      <c r="E191" t="s">
        <v>31</v>
      </c>
      <c r="F191" t="s">
        <v>498</v>
      </c>
      <c r="G191">
        <v>147</v>
      </c>
      <c r="H191" t="s">
        <v>499</v>
      </c>
      <c r="I191">
        <v>52</v>
      </c>
      <c r="J191" t="s">
        <v>500</v>
      </c>
      <c r="K191">
        <v>1972105</v>
      </c>
    </row>
    <row r="192" spans="4:11" x14ac:dyDescent="0.25">
      <c r="D192">
        <v>1</v>
      </c>
      <c r="E192" t="s">
        <v>12</v>
      </c>
      <c r="F192" t="s">
        <v>501</v>
      </c>
      <c r="G192">
        <v>15</v>
      </c>
      <c r="H192" t="s">
        <v>502</v>
      </c>
      <c r="I192">
        <v>177</v>
      </c>
      <c r="J192" t="s">
        <v>503</v>
      </c>
      <c r="K192">
        <v>1972337</v>
      </c>
    </row>
    <row r="193" spans="4:11" x14ac:dyDescent="0.25">
      <c r="D193">
        <v>1</v>
      </c>
      <c r="E193" t="s">
        <v>255</v>
      </c>
      <c r="F193" t="s">
        <v>504</v>
      </c>
      <c r="G193">
        <v>15</v>
      </c>
      <c r="H193" t="s">
        <v>505</v>
      </c>
      <c r="I193">
        <v>180</v>
      </c>
      <c r="J193" t="s">
        <v>506</v>
      </c>
      <c r="K193">
        <v>1972367</v>
      </c>
    </row>
    <row r="194" spans="4:11" x14ac:dyDescent="0.25">
      <c r="D194">
        <v>1</v>
      </c>
      <c r="E194" t="s">
        <v>39</v>
      </c>
      <c r="F194" t="s">
        <v>507</v>
      </c>
      <c r="G194">
        <v>37</v>
      </c>
      <c r="H194" t="s">
        <v>508</v>
      </c>
      <c r="I194">
        <v>39</v>
      </c>
      <c r="J194" t="s">
        <v>509</v>
      </c>
      <c r="K194">
        <v>1974151</v>
      </c>
    </row>
    <row r="195" spans="4:11" x14ac:dyDescent="0.25">
      <c r="D195">
        <v>1</v>
      </c>
      <c r="E195" t="s">
        <v>64</v>
      </c>
      <c r="F195" t="s">
        <v>510</v>
      </c>
      <c r="G195">
        <v>37</v>
      </c>
      <c r="H195" t="s">
        <v>511</v>
      </c>
      <c r="I195">
        <v>62</v>
      </c>
      <c r="J195" t="s">
        <v>512</v>
      </c>
      <c r="K195">
        <v>1974290</v>
      </c>
    </row>
    <row r="196" spans="4:11" x14ac:dyDescent="0.25">
      <c r="D196">
        <v>1</v>
      </c>
      <c r="E196" t="s">
        <v>20</v>
      </c>
      <c r="F196" t="s">
        <v>513</v>
      </c>
      <c r="G196">
        <v>160</v>
      </c>
      <c r="H196" t="s">
        <v>514</v>
      </c>
      <c r="I196">
        <v>8</v>
      </c>
      <c r="J196" t="s">
        <v>515</v>
      </c>
      <c r="K196">
        <v>1975874</v>
      </c>
    </row>
    <row r="197" spans="4:11" x14ac:dyDescent="0.25">
      <c r="D197">
        <v>1</v>
      </c>
      <c r="E197" t="s">
        <v>39</v>
      </c>
      <c r="F197" t="s">
        <v>513</v>
      </c>
      <c r="G197">
        <v>160</v>
      </c>
      <c r="H197" t="s">
        <v>514</v>
      </c>
      <c r="I197">
        <v>11</v>
      </c>
      <c r="J197" t="s">
        <v>515</v>
      </c>
      <c r="K197">
        <v>1975874</v>
      </c>
    </row>
    <row r="198" spans="4:11" x14ac:dyDescent="0.25">
      <c r="D198">
        <v>1</v>
      </c>
      <c r="E198" t="s">
        <v>155</v>
      </c>
      <c r="F198" t="s">
        <v>516</v>
      </c>
      <c r="G198">
        <v>191</v>
      </c>
      <c r="H198" t="s">
        <v>517</v>
      </c>
      <c r="I198">
        <v>222</v>
      </c>
      <c r="J198" t="s">
        <v>518</v>
      </c>
      <c r="K198">
        <v>1977709</v>
      </c>
    </row>
    <row r="199" spans="4:11" x14ac:dyDescent="0.25">
      <c r="D199">
        <v>1</v>
      </c>
      <c r="E199" t="s">
        <v>8</v>
      </c>
      <c r="F199" t="s">
        <v>519</v>
      </c>
      <c r="G199">
        <v>182</v>
      </c>
      <c r="H199" t="s">
        <v>520</v>
      </c>
      <c r="I199">
        <v>171</v>
      </c>
      <c r="J199" t="s">
        <v>521</v>
      </c>
      <c r="K199">
        <v>1980833</v>
      </c>
    </row>
    <row r="200" spans="4:11" x14ac:dyDescent="0.25">
      <c r="D200">
        <v>1</v>
      </c>
      <c r="E200" t="s">
        <v>16</v>
      </c>
      <c r="F200" t="s">
        <v>522</v>
      </c>
      <c r="G200">
        <v>182</v>
      </c>
      <c r="H200" t="s">
        <v>523</v>
      </c>
      <c r="I200">
        <v>234</v>
      </c>
      <c r="J200" t="s">
        <v>524</v>
      </c>
      <c r="K200">
        <v>1981131</v>
      </c>
    </row>
    <row r="201" spans="4:11" x14ac:dyDescent="0.25">
      <c r="D201">
        <v>2</v>
      </c>
      <c r="E201" t="s">
        <v>50</v>
      </c>
      <c r="F201" t="s">
        <v>525</v>
      </c>
      <c r="G201">
        <v>10</v>
      </c>
      <c r="H201" t="s">
        <v>526</v>
      </c>
      <c r="I201">
        <v>316</v>
      </c>
      <c r="J201" t="s">
        <v>527</v>
      </c>
      <c r="K201">
        <v>1532872</v>
      </c>
    </row>
    <row r="202" spans="4:11" x14ac:dyDescent="0.25">
      <c r="D202">
        <v>2</v>
      </c>
      <c r="E202" t="s">
        <v>20</v>
      </c>
      <c r="F202" t="s">
        <v>528</v>
      </c>
      <c r="G202">
        <v>106</v>
      </c>
      <c r="H202" t="s">
        <v>529</v>
      </c>
      <c r="I202">
        <v>59</v>
      </c>
      <c r="J202" t="s">
        <v>530</v>
      </c>
      <c r="K202">
        <v>1536885</v>
      </c>
    </row>
    <row r="203" spans="4:11" x14ac:dyDescent="0.25">
      <c r="D203">
        <v>2</v>
      </c>
      <c r="E203" t="s">
        <v>107</v>
      </c>
      <c r="F203" t="s">
        <v>531</v>
      </c>
      <c r="G203">
        <v>104</v>
      </c>
      <c r="H203" t="s">
        <v>532</v>
      </c>
      <c r="I203">
        <v>217</v>
      </c>
      <c r="J203" t="s">
        <v>533</v>
      </c>
      <c r="K203">
        <v>1551388</v>
      </c>
    </row>
    <row r="204" spans="4:11" x14ac:dyDescent="0.25">
      <c r="D204">
        <v>2</v>
      </c>
      <c r="E204" t="s">
        <v>35</v>
      </c>
      <c r="F204" t="s">
        <v>534</v>
      </c>
      <c r="G204">
        <v>133</v>
      </c>
      <c r="H204" t="s">
        <v>535</v>
      </c>
      <c r="I204">
        <v>84</v>
      </c>
      <c r="J204" t="s">
        <v>536</v>
      </c>
      <c r="K204">
        <v>1535187</v>
      </c>
    </row>
    <row r="205" spans="4:11" x14ac:dyDescent="0.25">
      <c r="D205">
        <v>2</v>
      </c>
      <c r="E205" t="s">
        <v>155</v>
      </c>
      <c r="F205" t="s">
        <v>537</v>
      </c>
      <c r="G205">
        <v>68</v>
      </c>
      <c r="H205" t="s">
        <v>538</v>
      </c>
      <c r="I205">
        <v>28</v>
      </c>
      <c r="J205" t="s">
        <v>539</v>
      </c>
      <c r="K205">
        <v>1536998</v>
      </c>
    </row>
    <row r="206" spans="4:11" x14ac:dyDescent="0.25">
      <c r="D206">
        <v>2</v>
      </c>
      <c r="E206" t="s">
        <v>8</v>
      </c>
      <c r="F206" t="s">
        <v>540</v>
      </c>
      <c r="G206">
        <v>133</v>
      </c>
      <c r="H206" t="s">
        <v>541</v>
      </c>
      <c r="I206">
        <v>171</v>
      </c>
      <c r="J206" t="s">
        <v>542</v>
      </c>
      <c r="K206">
        <v>1537287</v>
      </c>
    </row>
    <row r="207" spans="4:11" x14ac:dyDescent="0.25">
      <c r="D207">
        <v>2</v>
      </c>
      <c r="E207" t="s">
        <v>43</v>
      </c>
      <c r="F207" t="s">
        <v>543</v>
      </c>
      <c r="G207">
        <v>68</v>
      </c>
      <c r="H207" t="s">
        <v>544</v>
      </c>
      <c r="I207">
        <v>48</v>
      </c>
      <c r="J207" t="s">
        <v>545</v>
      </c>
      <c r="K207">
        <v>1536498</v>
      </c>
    </row>
    <row r="208" spans="4:11" x14ac:dyDescent="0.25">
      <c r="D208">
        <v>2</v>
      </c>
      <c r="E208" t="s">
        <v>35</v>
      </c>
      <c r="F208" t="s">
        <v>546</v>
      </c>
      <c r="G208">
        <v>98</v>
      </c>
      <c r="H208" t="s">
        <v>547</v>
      </c>
      <c r="I208">
        <v>282</v>
      </c>
      <c r="J208" t="s">
        <v>548</v>
      </c>
      <c r="K208">
        <v>1536058</v>
      </c>
    </row>
    <row r="209" spans="4:11" x14ac:dyDescent="0.25">
      <c r="D209">
        <v>2</v>
      </c>
      <c r="E209" t="s">
        <v>54</v>
      </c>
      <c r="F209" t="s">
        <v>549</v>
      </c>
      <c r="G209">
        <v>98</v>
      </c>
      <c r="H209" t="s">
        <v>550</v>
      </c>
      <c r="I209">
        <v>285</v>
      </c>
      <c r="J209" t="s">
        <v>551</v>
      </c>
      <c r="K209">
        <v>1536067</v>
      </c>
    </row>
    <row r="210" spans="4:11" x14ac:dyDescent="0.25">
      <c r="D210">
        <v>2</v>
      </c>
      <c r="E210" t="s">
        <v>8</v>
      </c>
      <c r="F210" t="s">
        <v>552</v>
      </c>
      <c r="G210">
        <v>80</v>
      </c>
      <c r="H210" t="s">
        <v>553</v>
      </c>
      <c r="I210">
        <v>178</v>
      </c>
      <c r="J210" t="s">
        <v>554</v>
      </c>
      <c r="K210">
        <v>1546651</v>
      </c>
    </row>
    <row r="211" spans="4:11" x14ac:dyDescent="0.25">
      <c r="D211">
        <v>2</v>
      </c>
      <c r="E211" t="s">
        <v>64</v>
      </c>
      <c r="F211" t="s">
        <v>21</v>
      </c>
      <c r="G211">
        <v>122</v>
      </c>
      <c r="H211" t="s">
        <v>22</v>
      </c>
      <c r="I211">
        <v>46</v>
      </c>
      <c r="J211" t="s">
        <v>23</v>
      </c>
      <c r="K211">
        <v>1537325</v>
      </c>
    </row>
    <row r="212" spans="4:11" x14ac:dyDescent="0.25">
      <c r="D212">
        <v>2</v>
      </c>
      <c r="E212" t="s">
        <v>107</v>
      </c>
      <c r="F212" t="s">
        <v>555</v>
      </c>
      <c r="G212">
        <v>114</v>
      </c>
      <c r="H212" t="s">
        <v>556</v>
      </c>
      <c r="I212">
        <v>169</v>
      </c>
      <c r="J212" t="s">
        <v>557</v>
      </c>
      <c r="K212">
        <v>1550162</v>
      </c>
    </row>
    <row r="213" spans="4:11" x14ac:dyDescent="0.25">
      <c r="D213">
        <v>2</v>
      </c>
      <c r="E213" t="s">
        <v>54</v>
      </c>
      <c r="F213" t="s">
        <v>558</v>
      </c>
      <c r="G213">
        <v>107</v>
      </c>
      <c r="H213" t="s">
        <v>559</v>
      </c>
      <c r="I213">
        <v>281</v>
      </c>
      <c r="J213" t="s">
        <v>560</v>
      </c>
      <c r="K213">
        <v>1537401</v>
      </c>
    </row>
    <row r="214" spans="4:11" x14ac:dyDescent="0.25">
      <c r="D214">
        <v>2</v>
      </c>
      <c r="E214" t="s">
        <v>20</v>
      </c>
      <c r="F214" t="s">
        <v>561</v>
      </c>
      <c r="G214">
        <v>3</v>
      </c>
      <c r="H214" t="s">
        <v>562</v>
      </c>
      <c r="I214">
        <v>196</v>
      </c>
      <c r="J214" t="s">
        <v>563</v>
      </c>
      <c r="K214">
        <v>1538160</v>
      </c>
    </row>
    <row r="215" spans="4:11" x14ac:dyDescent="0.25">
      <c r="D215">
        <v>2</v>
      </c>
      <c r="E215" t="s">
        <v>16</v>
      </c>
      <c r="F215" t="s">
        <v>564</v>
      </c>
      <c r="G215">
        <v>98</v>
      </c>
      <c r="H215" t="s">
        <v>565</v>
      </c>
      <c r="I215">
        <v>329</v>
      </c>
      <c r="J215" t="s">
        <v>566</v>
      </c>
      <c r="K215">
        <v>1543088</v>
      </c>
    </row>
    <row r="216" spans="4:11" x14ac:dyDescent="0.25">
      <c r="D216">
        <v>2</v>
      </c>
      <c r="E216" t="s">
        <v>35</v>
      </c>
      <c r="F216" t="s">
        <v>567</v>
      </c>
      <c r="G216">
        <v>48</v>
      </c>
      <c r="H216" t="s">
        <v>568</v>
      </c>
      <c r="I216">
        <v>309</v>
      </c>
      <c r="J216" t="s">
        <v>569</v>
      </c>
      <c r="K216">
        <v>1543506</v>
      </c>
    </row>
    <row r="217" spans="4:11" x14ac:dyDescent="0.25">
      <c r="D217">
        <v>2</v>
      </c>
      <c r="E217" t="s">
        <v>35</v>
      </c>
      <c r="F217" t="s">
        <v>570</v>
      </c>
      <c r="G217">
        <v>48</v>
      </c>
      <c r="H217" t="s">
        <v>571</v>
      </c>
      <c r="I217">
        <v>304</v>
      </c>
      <c r="J217" t="s">
        <v>572</v>
      </c>
      <c r="K217">
        <v>1543509</v>
      </c>
    </row>
    <row r="218" spans="4:11" x14ac:dyDescent="0.25">
      <c r="D218">
        <v>2</v>
      </c>
      <c r="E218" t="s">
        <v>50</v>
      </c>
      <c r="F218" t="s">
        <v>573</v>
      </c>
      <c r="G218">
        <v>171</v>
      </c>
      <c r="H218" t="s">
        <v>574</v>
      </c>
      <c r="I218">
        <v>302</v>
      </c>
      <c r="J218" t="s">
        <v>575</v>
      </c>
      <c r="K218">
        <v>1550148</v>
      </c>
    </row>
    <row r="219" spans="4:11" x14ac:dyDescent="0.25">
      <c r="D219">
        <v>2</v>
      </c>
      <c r="E219" t="s">
        <v>16</v>
      </c>
      <c r="F219" t="s">
        <v>576</v>
      </c>
      <c r="G219">
        <v>10</v>
      </c>
      <c r="H219" t="s">
        <v>577</v>
      </c>
      <c r="I219">
        <v>311</v>
      </c>
      <c r="J219" t="s">
        <v>578</v>
      </c>
      <c r="K219">
        <v>1544424</v>
      </c>
    </row>
    <row r="220" spans="4:11" x14ac:dyDescent="0.25">
      <c r="D220">
        <v>2</v>
      </c>
      <c r="E220" t="s">
        <v>54</v>
      </c>
      <c r="F220" t="s">
        <v>579</v>
      </c>
      <c r="G220">
        <v>95</v>
      </c>
      <c r="H220" t="s">
        <v>580</v>
      </c>
      <c r="I220">
        <v>40</v>
      </c>
      <c r="J220" t="s">
        <v>581</v>
      </c>
      <c r="K220">
        <v>1550250</v>
      </c>
    </row>
    <row r="221" spans="4:11" x14ac:dyDescent="0.25">
      <c r="D221">
        <v>2</v>
      </c>
      <c r="E221" t="s">
        <v>35</v>
      </c>
      <c r="F221" t="s">
        <v>582</v>
      </c>
      <c r="G221">
        <v>98</v>
      </c>
      <c r="H221" t="s">
        <v>583</v>
      </c>
      <c r="I221">
        <v>327</v>
      </c>
      <c r="J221" t="s">
        <v>584</v>
      </c>
      <c r="K221">
        <v>1544803</v>
      </c>
    </row>
    <row r="222" spans="4:11" x14ac:dyDescent="0.25">
      <c r="D222">
        <v>2</v>
      </c>
      <c r="E222" t="s">
        <v>31</v>
      </c>
      <c r="F222" t="s">
        <v>585</v>
      </c>
      <c r="G222">
        <v>98</v>
      </c>
      <c r="H222" t="s">
        <v>586</v>
      </c>
      <c r="I222">
        <v>325</v>
      </c>
      <c r="J222" t="s">
        <v>587</v>
      </c>
      <c r="K222">
        <v>1544830</v>
      </c>
    </row>
    <row r="223" spans="4:11" x14ac:dyDescent="0.25">
      <c r="D223">
        <v>2</v>
      </c>
      <c r="E223" t="s">
        <v>54</v>
      </c>
      <c r="F223" t="s">
        <v>588</v>
      </c>
      <c r="G223">
        <v>98</v>
      </c>
      <c r="H223" t="s">
        <v>589</v>
      </c>
      <c r="I223">
        <v>315</v>
      </c>
      <c r="J223" t="s">
        <v>590</v>
      </c>
      <c r="K223">
        <v>1544880</v>
      </c>
    </row>
    <row r="224" spans="4:11" x14ac:dyDescent="0.25">
      <c r="D224">
        <v>2</v>
      </c>
      <c r="E224" t="s">
        <v>31</v>
      </c>
      <c r="F224" t="s">
        <v>591</v>
      </c>
      <c r="G224">
        <v>72</v>
      </c>
      <c r="H224" t="s">
        <v>592</v>
      </c>
      <c r="I224">
        <v>185</v>
      </c>
      <c r="J224" t="s">
        <v>593</v>
      </c>
      <c r="K224">
        <v>1545116</v>
      </c>
    </row>
    <row r="225" spans="4:11" x14ac:dyDescent="0.25">
      <c r="D225">
        <v>2</v>
      </c>
      <c r="E225" t="s">
        <v>54</v>
      </c>
      <c r="F225" t="s">
        <v>594</v>
      </c>
      <c r="G225">
        <v>212</v>
      </c>
      <c r="H225" t="s">
        <v>595</v>
      </c>
      <c r="I225">
        <v>313</v>
      </c>
      <c r="J225" t="s">
        <v>596</v>
      </c>
      <c r="K225">
        <v>1550119</v>
      </c>
    </row>
    <row r="226" spans="4:11" x14ac:dyDescent="0.25">
      <c r="D226">
        <v>2</v>
      </c>
      <c r="E226" t="s">
        <v>35</v>
      </c>
      <c r="F226" t="s">
        <v>597</v>
      </c>
      <c r="G226">
        <v>33</v>
      </c>
      <c r="H226" t="s">
        <v>598</v>
      </c>
      <c r="I226">
        <v>187</v>
      </c>
      <c r="J226" t="s">
        <v>597</v>
      </c>
      <c r="K226">
        <v>1548948</v>
      </c>
    </row>
    <row r="227" spans="4:11" x14ac:dyDescent="0.25">
      <c r="D227">
        <v>2</v>
      </c>
      <c r="E227" t="s">
        <v>16</v>
      </c>
      <c r="F227" t="s">
        <v>599</v>
      </c>
      <c r="G227">
        <v>216</v>
      </c>
      <c r="H227" t="s">
        <v>600</v>
      </c>
      <c r="I227">
        <v>310</v>
      </c>
      <c r="J227" t="s">
        <v>601</v>
      </c>
      <c r="K227">
        <v>1551307</v>
      </c>
    </row>
    <row r="228" spans="4:11" x14ac:dyDescent="0.25">
      <c r="D228">
        <v>2</v>
      </c>
      <c r="E228" t="s">
        <v>35</v>
      </c>
      <c r="F228" t="s">
        <v>602</v>
      </c>
      <c r="G228">
        <v>104</v>
      </c>
      <c r="H228" t="s">
        <v>603</v>
      </c>
      <c r="I228">
        <v>51</v>
      </c>
      <c r="J228" t="s">
        <v>604</v>
      </c>
      <c r="K228">
        <v>1552305</v>
      </c>
    </row>
    <row r="229" spans="4:11" x14ac:dyDescent="0.25">
      <c r="D229">
        <v>2</v>
      </c>
      <c r="E229" t="s">
        <v>255</v>
      </c>
      <c r="F229" t="s">
        <v>605</v>
      </c>
      <c r="G229">
        <v>80</v>
      </c>
      <c r="H229" t="s">
        <v>606</v>
      </c>
      <c r="I229">
        <v>180</v>
      </c>
      <c r="J229" t="s">
        <v>607</v>
      </c>
      <c r="K229">
        <v>1552370</v>
      </c>
    </row>
    <row r="230" spans="4:11" x14ac:dyDescent="0.25">
      <c r="D230">
        <v>2</v>
      </c>
      <c r="E230" t="s">
        <v>31</v>
      </c>
      <c r="F230" t="s">
        <v>608</v>
      </c>
      <c r="G230">
        <v>80</v>
      </c>
      <c r="H230" t="s">
        <v>609</v>
      </c>
      <c r="I230">
        <v>328</v>
      </c>
      <c r="J230" t="s">
        <v>610</v>
      </c>
      <c r="K230">
        <v>1552495</v>
      </c>
    </row>
    <row r="231" spans="4:11" x14ac:dyDescent="0.25">
      <c r="D231">
        <v>2</v>
      </c>
      <c r="E231" t="s">
        <v>20</v>
      </c>
      <c r="F231" t="s">
        <v>611</v>
      </c>
      <c r="G231">
        <v>53</v>
      </c>
      <c r="H231" t="s">
        <v>612</v>
      </c>
      <c r="I231">
        <v>289</v>
      </c>
      <c r="J231" t="s">
        <v>613</v>
      </c>
      <c r="K231">
        <v>1554972</v>
      </c>
    </row>
    <row r="232" spans="4:11" x14ac:dyDescent="0.25">
      <c r="D232">
        <v>2</v>
      </c>
      <c r="E232" t="s">
        <v>255</v>
      </c>
      <c r="F232" t="s">
        <v>614</v>
      </c>
      <c r="G232">
        <v>212</v>
      </c>
      <c r="H232" t="s">
        <v>615</v>
      </c>
      <c r="I232">
        <v>216</v>
      </c>
      <c r="J232" t="s">
        <v>616</v>
      </c>
      <c r="K232">
        <v>1555976</v>
      </c>
    </row>
    <row r="233" spans="4:11" x14ac:dyDescent="0.25">
      <c r="D233">
        <v>2</v>
      </c>
      <c r="E233" t="s">
        <v>54</v>
      </c>
      <c r="F233" t="s">
        <v>617</v>
      </c>
      <c r="G233">
        <v>72</v>
      </c>
      <c r="H233" t="s">
        <v>618</v>
      </c>
      <c r="I233">
        <v>210</v>
      </c>
      <c r="J233" t="s">
        <v>619</v>
      </c>
      <c r="K233">
        <v>1559512</v>
      </c>
    </row>
    <row r="234" spans="4:11" x14ac:dyDescent="0.25">
      <c r="D234">
        <v>2</v>
      </c>
      <c r="E234" t="s">
        <v>16</v>
      </c>
      <c r="F234" t="s">
        <v>620</v>
      </c>
      <c r="G234">
        <v>62</v>
      </c>
      <c r="H234" t="s">
        <v>621</v>
      </c>
      <c r="I234">
        <v>305</v>
      </c>
      <c r="J234" t="s">
        <v>622</v>
      </c>
      <c r="K234">
        <v>1563010</v>
      </c>
    </row>
    <row r="235" spans="4:11" x14ac:dyDescent="0.25">
      <c r="D235">
        <v>2</v>
      </c>
      <c r="E235" t="s">
        <v>24</v>
      </c>
      <c r="F235" t="s">
        <v>623</v>
      </c>
      <c r="G235">
        <v>82</v>
      </c>
      <c r="H235" t="s">
        <v>624</v>
      </c>
      <c r="I235">
        <v>172</v>
      </c>
      <c r="J235" t="s">
        <v>625</v>
      </c>
      <c r="K235">
        <v>1563082</v>
      </c>
    </row>
    <row r="236" spans="4:11" x14ac:dyDescent="0.25">
      <c r="D236">
        <v>2</v>
      </c>
      <c r="E236" t="s">
        <v>39</v>
      </c>
      <c r="F236" t="s">
        <v>626</v>
      </c>
      <c r="G236">
        <v>194</v>
      </c>
      <c r="H236" t="s">
        <v>627</v>
      </c>
      <c r="I236">
        <v>275</v>
      </c>
      <c r="J236" t="s">
        <v>628</v>
      </c>
      <c r="K236">
        <v>1563390</v>
      </c>
    </row>
    <row r="237" spans="4:11" x14ac:dyDescent="0.25">
      <c r="D237">
        <v>2</v>
      </c>
      <c r="E237" t="s">
        <v>39</v>
      </c>
      <c r="F237" t="s">
        <v>629</v>
      </c>
      <c r="G237">
        <v>66</v>
      </c>
      <c r="H237" t="s">
        <v>630</v>
      </c>
      <c r="I237">
        <v>288</v>
      </c>
      <c r="J237" t="s">
        <v>631</v>
      </c>
      <c r="K237">
        <v>1563682</v>
      </c>
    </row>
    <row r="238" spans="4:11" x14ac:dyDescent="0.25">
      <c r="D238">
        <v>2</v>
      </c>
      <c r="E238" t="s">
        <v>35</v>
      </c>
      <c r="F238" t="s">
        <v>632</v>
      </c>
      <c r="G238">
        <v>208</v>
      </c>
      <c r="H238" t="s">
        <v>633</v>
      </c>
      <c r="I238">
        <v>88</v>
      </c>
      <c r="J238" t="s">
        <v>634</v>
      </c>
      <c r="K238">
        <v>1568182</v>
      </c>
    </row>
    <row r="239" spans="4:11" x14ac:dyDescent="0.25">
      <c r="D239">
        <v>2</v>
      </c>
      <c r="E239" t="s">
        <v>54</v>
      </c>
      <c r="F239" t="s">
        <v>635</v>
      </c>
      <c r="G239">
        <v>208</v>
      </c>
      <c r="H239" t="s">
        <v>636</v>
      </c>
      <c r="I239">
        <v>89</v>
      </c>
      <c r="J239" t="s">
        <v>637</v>
      </c>
      <c r="K239">
        <v>1568186</v>
      </c>
    </row>
    <row r="240" spans="4:11" x14ac:dyDescent="0.25">
      <c r="D240">
        <v>2</v>
      </c>
      <c r="E240" t="s">
        <v>64</v>
      </c>
      <c r="F240" t="s">
        <v>638</v>
      </c>
      <c r="G240">
        <v>111</v>
      </c>
      <c r="H240" t="s">
        <v>639</v>
      </c>
      <c r="I240">
        <v>322</v>
      </c>
      <c r="J240" t="s">
        <v>640</v>
      </c>
      <c r="K240">
        <v>1568241</v>
      </c>
    </row>
    <row r="241" spans="4:11" x14ac:dyDescent="0.25">
      <c r="D241">
        <v>2</v>
      </c>
      <c r="E241" t="s">
        <v>16</v>
      </c>
      <c r="F241" t="s">
        <v>641</v>
      </c>
      <c r="G241">
        <v>93</v>
      </c>
      <c r="H241" t="s">
        <v>642</v>
      </c>
      <c r="I241">
        <v>107</v>
      </c>
      <c r="J241" t="s">
        <v>643</v>
      </c>
      <c r="K241">
        <v>1568350</v>
      </c>
    </row>
    <row r="242" spans="4:11" x14ac:dyDescent="0.25">
      <c r="D242">
        <v>2</v>
      </c>
      <c r="E242" t="s">
        <v>16</v>
      </c>
      <c r="F242" t="s">
        <v>644</v>
      </c>
      <c r="G242">
        <v>164</v>
      </c>
      <c r="H242" t="s">
        <v>645</v>
      </c>
      <c r="I242">
        <v>90</v>
      </c>
      <c r="J242" t="s">
        <v>646</v>
      </c>
      <c r="K242">
        <v>1568655</v>
      </c>
    </row>
    <row r="243" spans="4:11" x14ac:dyDescent="0.25">
      <c r="D243">
        <v>2</v>
      </c>
      <c r="E243" t="s">
        <v>16</v>
      </c>
      <c r="F243" t="s">
        <v>647</v>
      </c>
      <c r="G243">
        <v>93</v>
      </c>
      <c r="H243" t="s">
        <v>648</v>
      </c>
      <c r="I243">
        <v>102</v>
      </c>
      <c r="J243" t="s">
        <v>649</v>
      </c>
      <c r="K243">
        <v>1570863</v>
      </c>
    </row>
    <row r="244" spans="4:11" x14ac:dyDescent="0.25">
      <c r="D244">
        <v>2</v>
      </c>
      <c r="E244" t="s">
        <v>50</v>
      </c>
      <c r="F244" t="s">
        <v>650</v>
      </c>
      <c r="G244">
        <v>54</v>
      </c>
      <c r="H244" t="s">
        <v>651</v>
      </c>
      <c r="I244">
        <v>318</v>
      </c>
      <c r="J244" t="s">
        <v>652</v>
      </c>
      <c r="K244">
        <v>1571747</v>
      </c>
    </row>
    <row r="245" spans="4:11" x14ac:dyDescent="0.25">
      <c r="D245">
        <v>2</v>
      </c>
      <c r="E245" t="s">
        <v>35</v>
      </c>
      <c r="F245" t="s">
        <v>653</v>
      </c>
      <c r="G245">
        <v>131</v>
      </c>
      <c r="H245" t="s">
        <v>654</v>
      </c>
      <c r="I245">
        <v>320</v>
      </c>
      <c r="J245" t="s">
        <v>655</v>
      </c>
      <c r="K245">
        <v>1572203</v>
      </c>
    </row>
    <row r="246" spans="4:11" x14ac:dyDescent="0.25">
      <c r="D246">
        <v>2</v>
      </c>
      <c r="E246" t="s">
        <v>12</v>
      </c>
      <c r="F246" t="s">
        <v>656</v>
      </c>
      <c r="G246">
        <v>194</v>
      </c>
      <c r="H246" t="s">
        <v>657</v>
      </c>
      <c r="I246">
        <v>215</v>
      </c>
      <c r="J246" t="s">
        <v>658</v>
      </c>
      <c r="K246">
        <v>1572919</v>
      </c>
    </row>
    <row r="247" spans="4:11" x14ac:dyDescent="0.25">
      <c r="D247">
        <v>2</v>
      </c>
      <c r="E247" t="s">
        <v>31</v>
      </c>
      <c r="F247" t="s">
        <v>659</v>
      </c>
      <c r="G247">
        <v>164</v>
      </c>
      <c r="H247" t="s">
        <v>660</v>
      </c>
      <c r="I247">
        <v>132</v>
      </c>
      <c r="J247" t="s">
        <v>661</v>
      </c>
      <c r="K247">
        <v>1572953</v>
      </c>
    </row>
    <row r="248" spans="4:11" x14ac:dyDescent="0.25">
      <c r="D248">
        <v>2</v>
      </c>
      <c r="E248" t="s">
        <v>16</v>
      </c>
      <c r="F248" t="s">
        <v>662</v>
      </c>
      <c r="G248">
        <v>111</v>
      </c>
      <c r="H248" t="s">
        <v>663</v>
      </c>
      <c r="I248">
        <v>82</v>
      </c>
      <c r="J248" t="s">
        <v>664</v>
      </c>
      <c r="K248">
        <v>1878687</v>
      </c>
    </row>
    <row r="249" spans="4:11" x14ac:dyDescent="0.25">
      <c r="D249">
        <v>2</v>
      </c>
      <c r="E249" t="s">
        <v>54</v>
      </c>
      <c r="F249" t="s">
        <v>665</v>
      </c>
      <c r="G249">
        <v>72</v>
      </c>
      <c r="H249" t="s">
        <v>666</v>
      </c>
      <c r="I249">
        <v>81</v>
      </c>
      <c r="J249" t="s">
        <v>667</v>
      </c>
      <c r="K249">
        <v>1879110</v>
      </c>
    </row>
    <row r="250" spans="4:11" x14ac:dyDescent="0.25">
      <c r="D250">
        <v>2</v>
      </c>
      <c r="E250" t="s">
        <v>50</v>
      </c>
      <c r="F250" t="s">
        <v>668</v>
      </c>
      <c r="G250">
        <v>72</v>
      </c>
      <c r="H250" t="s">
        <v>669</v>
      </c>
      <c r="I250">
        <v>83</v>
      </c>
      <c r="J250" t="s">
        <v>670</v>
      </c>
      <c r="K250">
        <v>1879111</v>
      </c>
    </row>
    <row r="251" spans="4:11" x14ac:dyDescent="0.25">
      <c r="D251">
        <v>2</v>
      </c>
      <c r="E251" t="s">
        <v>255</v>
      </c>
      <c r="F251" t="s">
        <v>671</v>
      </c>
      <c r="G251">
        <v>72</v>
      </c>
      <c r="H251" t="s">
        <v>672</v>
      </c>
      <c r="I251">
        <v>96</v>
      </c>
      <c r="J251" t="s">
        <v>673</v>
      </c>
      <c r="K251">
        <v>1880464</v>
      </c>
    </row>
    <row r="252" spans="4:11" x14ac:dyDescent="0.25">
      <c r="D252">
        <v>2</v>
      </c>
      <c r="E252" t="s">
        <v>43</v>
      </c>
      <c r="F252" t="s">
        <v>674</v>
      </c>
      <c r="G252">
        <v>72</v>
      </c>
      <c r="H252" t="s">
        <v>675</v>
      </c>
      <c r="I252">
        <v>101</v>
      </c>
      <c r="J252" t="s">
        <v>676</v>
      </c>
      <c r="K252">
        <v>1880483</v>
      </c>
    </row>
    <row r="253" spans="4:11" x14ac:dyDescent="0.25">
      <c r="D253">
        <v>2</v>
      </c>
      <c r="E253" t="s">
        <v>16</v>
      </c>
      <c r="F253" t="s">
        <v>677</v>
      </c>
      <c r="G253">
        <v>216</v>
      </c>
      <c r="H253" t="s">
        <v>678</v>
      </c>
      <c r="I253">
        <v>287</v>
      </c>
      <c r="J253" t="s">
        <v>679</v>
      </c>
      <c r="K253">
        <v>1887768</v>
      </c>
    </row>
    <row r="254" spans="4:11" x14ac:dyDescent="0.25">
      <c r="D254">
        <v>2</v>
      </c>
      <c r="E254" t="s">
        <v>16</v>
      </c>
      <c r="F254" t="s">
        <v>680</v>
      </c>
      <c r="G254">
        <v>108</v>
      </c>
      <c r="H254" t="s">
        <v>681</v>
      </c>
      <c r="I254">
        <v>186</v>
      </c>
      <c r="J254" t="s">
        <v>680</v>
      </c>
      <c r="K254">
        <v>1887939</v>
      </c>
    </row>
    <row r="255" spans="4:11" x14ac:dyDescent="0.25">
      <c r="D255">
        <v>2</v>
      </c>
      <c r="E255" t="s">
        <v>20</v>
      </c>
      <c r="F255" t="s">
        <v>682</v>
      </c>
      <c r="G255">
        <v>72</v>
      </c>
      <c r="H255" t="s">
        <v>683</v>
      </c>
      <c r="I255">
        <v>224</v>
      </c>
      <c r="J255" t="s">
        <v>684</v>
      </c>
      <c r="K255">
        <v>1888429</v>
      </c>
    </row>
    <row r="256" spans="4:11" x14ac:dyDescent="0.25">
      <c r="D256">
        <v>2</v>
      </c>
      <c r="E256" t="s">
        <v>31</v>
      </c>
      <c r="F256" t="s">
        <v>685</v>
      </c>
      <c r="G256">
        <v>82</v>
      </c>
      <c r="H256" t="s">
        <v>686</v>
      </c>
      <c r="I256">
        <v>129</v>
      </c>
      <c r="J256" t="s">
        <v>687</v>
      </c>
      <c r="K256">
        <v>1889704</v>
      </c>
    </row>
    <row r="257" spans="4:11" x14ac:dyDescent="0.25">
      <c r="D257">
        <v>2</v>
      </c>
      <c r="E257" t="s">
        <v>183</v>
      </c>
      <c r="F257" t="s">
        <v>688</v>
      </c>
      <c r="G257">
        <v>72</v>
      </c>
      <c r="H257" t="s">
        <v>689</v>
      </c>
      <c r="I257">
        <v>175</v>
      </c>
      <c r="J257" t="s">
        <v>690</v>
      </c>
      <c r="K257">
        <v>1891304</v>
      </c>
    </row>
    <row r="258" spans="4:11" x14ac:dyDescent="0.25">
      <c r="D258">
        <v>2</v>
      </c>
      <c r="E258" t="s">
        <v>12</v>
      </c>
      <c r="F258" t="s">
        <v>691</v>
      </c>
      <c r="G258">
        <v>72</v>
      </c>
      <c r="H258" t="s">
        <v>692</v>
      </c>
      <c r="I258">
        <v>177</v>
      </c>
      <c r="J258" t="s">
        <v>693</v>
      </c>
      <c r="K258">
        <v>1891311</v>
      </c>
    </row>
    <row r="259" spans="4:11" x14ac:dyDescent="0.25">
      <c r="D259">
        <v>2</v>
      </c>
      <c r="E259" t="s">
        <v>16</v>
      </c>
      <c r="F259" t="s">
        <v>694</v>
      </c>
      <c r="G259">
        <v>108</v>
      </c>
      <c r="H259" t="s">
        <v>695</v>
      </c>
      <c r="I259">
        <v>139</v>
      </c>
      <c r="J259" t="s">
        <v>694</v>
      </c>
      <c r="K259">
        <v>1891685</v>
      </c>
    </row>
    <row r="260" spans="4:11" x14ac:dyDescent="0.25">
      <c r="D260">
        <v>2</v>
      </c>
      <c r="E260" t="s">
        <v>35</v>
      </c>
      <c r="F260" t="s">
        <v>696</v>
      </c>
      <c r="G260">
        <v>108</v>
      </c>
      <c r="H260" t="s">
        <v>697</v>
      </c>
      <c r="I260">
        <v>236</v>
      </c>
      <c r="J260" t="s">
        <v>696</v>
      </c>
      <c r="K260">
        <v>1892022</v>
      </c>
    </row>
    <row r="261" spans="4:11" x14ac:dyDescent="0.25">
      <c r="D261">
        <v>2</v>
      </c>
      <c r="E261" t="s">
        <v>16</v>
      </c>
      <c r="F261" t="s">
        <v>698</v>
      </c>
      <c r="G261">
        <v>82</v>
      </c>
      <c r="H261" t="s">
        <v>699</v>
      </c>
      <c r="I261">
        <v>163</v>
      </c>
      <c r="J261" t="s">
        <v>700</v>
      </c>
      <c r="K261">
        <v>1892506</v>
      </c>
    </row>
    <row r="262" spans="4:11" x14ac:dyDescent="0.25">
      <c r="D262">
        <v>2</v>
      </c>
      <c r="E262" t="s">
        <v>255</v>
      </c>
      <c r="F262" t="s">
        <v>701</v>
      </c>
      <c r="G262">
        <v>102</v>
      </c>
      <c r="H262" t="s">
        <v>702</v>
      </c>
      <c r="I262">
        <v>173</v>
      </c>
      <c r="J262" t="s">
        <v>703</v>
      </c>
      <c r="K262">
        <v>1892794</v>
      </c>
    </row>
    <row r="263" spans="4:11" x14ac:dyDescent="0.25">
      <c r="D263">
        <v>2</v>
      </c>
      <c r="E263" t="s">
        <v>155</v>
      </c>
      <c r="F263" t="s">
        <v>704</v>
      </c>
      <c r="G263">
        <v>102</v>
      </c>
      <c r="H263" t="s">
        <v>705</v>
      </c>
      <c r="I263">
        <v>174</v>
      </c>
      <c r="J263" t="s">
        <v>706</v>
      </c>
      <c r="K263">
        <v>1892796</v>
      </c>
    </row>
    <row r="264" spans="4:11" x14ac:dyDescent="0.25">
      <c r="D264">
        <v>2</v>
      </c>
      <c r="E264" t="s">
        <v>43</v>
      </c>
      <c r="F264" t="s">
        <v>707</v>
      </c>
      <c r="G264">
        <v>113</v>
      </c>
      <c r="H264" t="s">
        <v>708</v>
      </c>
      <c r="I264">
        <v>218</v>
      </c>
      <c r="J264" t="s">
        <v>707</v>
      </c>
      <c r="K264">
        <v>1893852</v>
      </c>
    </row>
    <row r="265" spans="4:11" x14ac:dyDescent="0.25">
      <c r="D265">
        <v>2</v>
      </c>
      <c r="E265" t="s">
        <v>107</v>
      </c>
      <c r="F265" t="s">
        <v>709</v>
      </c>
      <c r="G265">
        <v>113</v>
      </c>
      <c r="H265" t="s">
        <v>710</v>
      </c>
      <c r="I265">
        <v>223</v>
      </c>
      <c r="J265" t="s">
        <v>709</v>
      </c>
      <c r="K265">
        <v>1893930</v>
      </c>
    </row>
    <row r="266" spans="4:11" x14ac:dyDescent="0.25">
      <c r="D266">
        <v>2</v>
      </c>
      <c r="E266" t="s">
        <v>35</v>
      </c>
      <c r="F266" t="s">
        <v>711</v>
      </c>
      <c r="G266">
        <v>151</v>
      </c>
      <c r="H266" t="s">
        <v>712</v>
      </c>
      <c r="I266">
        <v>32</v>
      </c>
      <c r="J266" t="s">
        <v>713</v>
      </c>
      <c r="K266">
        <v>1894095</v>
      </c>
    </row>
    <row r="267" spans="4:11" x14ac:dyDescent="0.25">
      <c r="D267">
        <v>2</v>
      </c>
      <c r="E267" t="s">
        <v>31</v>
      </c>
      <c r="F267" t="s">
        <v>714</v>
      </c>
      <c r="G267">
        <v>113</v>
      </c>
      <c r="H267" t="s">
        <v>715</v>
      </c>
      <c r="I267">
        <v>306</v>
      </c>
      <c r="J267" t="s">
        <v>714</v>
      </c>
      <c r="K267">
        <v>1894414</v>
      </c>
    </row>
    <row r="268" spans="4:11" x14ac:dyDescent="0.25">
      <c r="D268">
        <v>2</v>
      </c>
      <c r="E268" t="s">
        <v>50</v>
      </c>
      <c r="F268" t="s">
        <v>716</v>
      </c>
      <c r="G268">
        <v>57</v>
      </c>
      <c r="H268" t="s">
        <v>717</v>
      </c>
      <c r="I268">
        <v>211</v>
      </c>
      <c r="J268" t="s">
        <v>718</v>
      </c>
      <c r="K268">
        <v>1895121</v>
      </c>
    </row>
    <row r="269" spans="4:11" x14ac:dyDescent="0.25">
      <c r="D269">
        <v>2</v>
      </c>
      <c r="E269" t="s">
        <v>155</v>
      </c>
      <c r="F269" t="s">
        <v>719</v>
      </c>
      <c r="G269">
        <v>72</v>
      </c>
      <c r="H269" t="s">
        <v>720</v>
      </c>
      <c r="I269">
        <v>115</v>
      </c>
      <c r="J269" t="s">
        <v>721</v>
      </c>
      <c r="K269">
        <v>1895640</v>
      </c>
    </row>
    <row r="270" spans="4:11" x14ac:dyDescent="0.25">
      <c r="D270">
        <v>2</v>
      </c>
      <c r="E270" t="s">
        <v>12</v>
      </c>
      <c r="F270" t="s">
        <v>722</v>
      </c>
      <c r="G270">
        <v>72</v>
      </c>
      <c r="H270" t="s">
        <v>723</v>
      </c>
      <c r="I270">
        <v>116</v>
      </c>
      <c r="J270" t="s">
        <v>724</v>
      </c>
      <c r="K270">
        <v>1895687</v>
      </c>
    </row>
    <row r="271" spans="4:11" x14ac:dyDescent="0.25">
      <c r="D271">
        <v>2</v>
      </c>
      <c r="E271" t="s">
        <v>20</v>
      </c>
      <c r="F271" t="s">
        <v>725</v>
      </c>
      <c r="G271">
        <v>72</v>
      </c>
      <c r="H271" t="s">
        <v>726</v>
      </c>
      <c r="I271">
        <v>118</v>
      </c>
      <c r="J271" t="s">
        <v>727</v>
      </c>
      <c r="K271">
        <v>1895699</v>
      </c>
    </row>
    <row r="272" spans="4:11" x14ac:dyDescent="0.25">
      <c r="D272">
        <v>2</v>
      </c>
      <c r="E272" t="s">
        <v>12</v>
      </c>
      <c r="F272" t="s">
        <v>728</v>
      </c>
      <c r="G272">
        <v>77</v>
      </c>
      <c r="H272" t="s">
        <v>729</v>
      </c>
      <c r="I272">
        <v>98</v>
      </c>
      <c r="J272" t="s">
        <v>730</v>
      </c>
      <c r="K272">
        <v>1896030</v>
      </c>
    </row>
    <row r="273" spans="4:11" x14ac:dyDescent="0.25">
      <c r="D273">
        <v>2</v>
      </c>
      <c r="E273" t="s">
        <v>43</v>
      </c>
      <c r="F273" t="s">
        <v>731</v>
      </c>
      <c r="G273">
        <v>77</v>
      </c>
      <c r="H273" t="s">
        <v>732</v>
      </c>
      <c r="I273">
        <v>100</v>
      </c>
      <c r="J273" t="s">
        <v>733</v>
      </c>
      <c r="K273">
        <v>1896032</v>
      </c>
    </row>
    <row r="274" spans="4:11" x14ac:dyDescent="0.25">
      <c r="D274">
        <v>2</v>
      </c>
      <c r="E274" t="s">
        <v>16</v>
      </c>
      <c r="F274" t="s">
        <v>734</v>
      </c>
      <c r="G274">
        <v>77</v>
      </c>
      <c r="H274" t="s">
        <v>735</v>
      </c>
      <c r="I274">
        <v>283</v>
      </c>
      <c r="J274" t="s">
        <v>736</v>
      </c>
      <c r="K274">
        <v>1896149</v>
      </c>
    </row>
    <row r="275" spans="4:11" x14ac:dyDescent="0.25">
      <c r="D275">
        <v>2</v>
      </c>
      <c r="E275" t="s">
        <v>24</v>
      </c>
      <c r="F275" t="s">
        <v>737</v>
      </c>
      <c r="G275">
        <v>108</v>
      </c>
      <c r="H275" t="s">
        <v>738</v>
      </c>
      <c r="I275">
        <v>179</v>
      </c>
      <c r="J275" t="s">
        <v>737</v>
      </c>
      <c r="K275">
        <v>1896750</v>
      </c>
    </row>
    <row r="276" spans="4:11" x14ac:dyDescent="0.25">
      <c r="D276">
        <v>2</v>
      </c>
      <c r="E276" t="s">
        <v>16</v>
      </c>
      <c r="F276" t="s">
        <v>739</v>
      </c>
      <c r="G276">
        <v>212</v>
      </c>
      <c r="H276" t="s">
        <v>740</v>
      </c>
      <c r="I276">
        <v>321</v>
      </c>
      <c r="J276" t="s">
        <v>741</v>
      </c>
      <c r="K276">
        <v>1897022</v>
      </c>
    </row>
    <row r="277" spans="4:11" x14ac:dyDescent="0.25">
      <c r="D277">
        <v>2</v>
      </c>
      <c r="E277" t="s">
        <v>43</v>
      </c>
      <c r="F277" t="s">
        <v>742</v>
      </c>
      <c r="G277">
        <v>212</v>
      </c>
      <c r="H277" t="s">
        <v>743</v>
      </c>
      <c r="I277">
        <v>12</v>
      </c>
      <c r="J277" t="s">
        <v>744</v>
      </c>
      <c r="K277">
        <v>1897555</v>
      </c>
    </row>
    <row r="278" spans="4:11" x14ac:dyDescent="0.25">
      <c r="D278">
        <v>2</v>
      </c>
      <c r="E278" t="s">
        <v>50</v>
      </c>
      <c r="F278" t="s">
        <v>745</v>
      </c>
      <c r="G278">
        <v>200</v>
      </c>
      <c r="H278" t="s">
        <v>746</v>
      </c>
      <c r="I278">
        <v>307</v>
      </c>
      <c r="J278" t="s">
        <v>747</v>
      </c>
      <c r="K278">
        <v>1898059</v>
      </c>
    </row>
    <row r="279" spans="4:11" x14ac:dyDescent="0.25">
      <c r="D279">
        <v>2</v>
      </c>
      <c r="E279" t="s">
        <v>54</v>
      </c>
      <c r="F279" t="s">
        <v>748</v>
      </c>
      <c r="G279">
        <v>200</v>
      </c>
      <c r="H279" t="s">
        <v>749</v>
      </c>
      <c r="I279">
        <v>308</v>
      </c>
      <c r="J279" t="s">
        <v>750</v>
      </c>
      <c r="K279">
        <v>1898067</v>
      </c>
    </row>
    <row r="280" spans="4:11" x14ac:dyDescent="0.25">
      <c r="D280">
        <v>2</v>
      </c>
      <c r="E280" t="s">
        <v>31</v>
      </c>
      <c r="F280" t="s">
        <v>751</v>
      </c>
      <c r="G280">
        <v>68</v>
      </c>
      <c r="H280" t="s">
        <v>752</v>
      </c>
      <c r="I280">
        <v>52</v>
      </c>
      <c r="J280" t="s">
        <v>753</v>
      </c>
      <c r="K280">
        <v>1901487</v>
      </c>
    </row>
    <row r="281" spans="4:11" x14ac:dyDescent="0.25">
      <c r="D281">
        <v>2</v>
      </c>
      <c r="E281" t="s">
        <v>64</v>
      </c>
      <c r="F281" t="s">
        <v>754</v>
      </c>
      <c r="G281">
        <v>42</v>
      </c>
      <c r="H281" t="s">
        <v>755</v>
      </c>
      <c r="I281">
        <v>135</v>
      </c>
      <c r="J281" t="s">
        <v>754</v>
      </c>
      <c r="K281">
        <v>1901544</v>
      </c>
    </row>
    <row r="282" spans="4:11" x14ac:dyDescent="0.25">
      <c r="D282">
        <v>2</v>
      </c>
      <c r="E282" t="s">
        <v>54</v>
      </c>
      <c r="F282" t="s">
        <v>756</v>
      </c>
      <c r="G282">
        <v>42</v>
      </c>
      <c r="H282" t="s">
        <v>757</v>
      </c>
      <c r="I282">
        <v>138</v>
      </c>
      <c r="J282" t="s">
        <v>756</v>
      </c>
      <c r="K282">
        <v>1901549</v>
      </c>
    </row>
    <row r="283" spans="4:11" x14ac:dyDescent="0.25">
      <c r="D283">
        <v>2</v>
      </c>
      <c r="E283" t="s">
        <v>107</v>
      </c>
      <c r="F283" t="s">
        <v>758</v>
      </c>
      <c r="G283">
        <v>108</v>
      </c>
      <c r="H283" t="s">
        <v>759</v>
      </c>
      <c r="I283">
        <v>230</v>
      </c>
      <c r="J283" t="s">
        <v>758</v>
      </c>
      <c r="K283">
        <v>1902069</v>
      </c>
    </row>
    <row r="284" spans="4:11" x14ac:dyDescent="0.25">
      <c r="D284">
        <v>2</v>
      </c>
      <c r="E284" t="s">
        <v>64</v>
      </c>
      <c r="F284" t="s">
        <v>760</v>
      </c>
      <c r="G284">
        <v>108</v>
      </c>
      <c r="H284" t="s">
        <v>761</v>
      </c>
      <c r="I284">
        <v>232</v>
      </c>
      <c r="J284" t="s">
        <v>760</v>
      </c>
      <c r="K284">
        <v>1902075</v>
      </c>
    </row>
    <row r="285" spans="4:11" x14ac:dyDescent="0.25">
      <c r="D285">
        <v>2</v>
      </c>
      <c r="E285" t="s">
        <v>20</v>
      </c>
      <c r="F285" t="s">
        <v>762</v>
      </c>
      <c r="G285">
        <v>113</v>
      </c>
      <c r="H285" t="s">
        <v>763</v>
      </c>
      <c r="I285">
        <v>2</v>
      </c>
      <c r="J285" t="s">
        <v>762</v>
      </c>
      <c r="K285">
        <v>1902148</v>
      </c>
    </row>
    <row r="286" spans="4:11" x14ac:dyDescent="0.25">
      <c r="D286">
        <v>2</v>
      </c>
      <c r="E286" t="s">
        <v>20</v>
      </c>
      <c r="F286" t="s">
        <v>764</v>
      </c>
      <c r="G286">
        <v>42</v>
      </c>
      <c r="H286" t="s">
        <v>765</v>
      </c>
      <c r="I286">
        <v>276</v>
      </c>
      <c r="J286" t="s">
        <v>764</v>
      </c>
      <c r="K286">
        <v>1902313</v>
      </c>
    </row>
    <row r="287" spans="4:11" x14ac:dyDescent="0.25">
      <c r="D287">
        <v>2</v>
      </c>
      <c r="E287" t="s">
        <v>155</v>
      </c>
      <c r="F287" t="s">
        <v>766</v>
      </c>
      <c r="G287">
        <v>77</v>
      </c>
      <c r="H287" t="s">
        <v>767</v>
      </c>
      <c r="I287">
        <v>257</v>
      </c>
      <c r="J287" t="s">
        <v>768</v>
      </c>
      <c r="K287">
        <v>1903616</v>
      </c>
    </row>
    <row r="288" spans="4:11" x14ac:dyDescent="0.25">
      <c r="D288">
        <v>2</v>
      </c>
      <c r="E288" t="s">
        <v>12</v>
      </c>
      <c r="F288" t="s">
        <v>769</v>
      </c>
      <c r="G288">
        <v>77</v>
      </c>
      <c r="H288" t="s">
        <v>770</v>
      </c>
      <c r="I288">
        <v>259</v>
      </c>
      <c r="J288" t="s">
        <v>771</v>
      </c>
      <c r="K288">
        <v>1903617</v>
      </c>
    </row>
    <row r="289" spans="4:11" x14ac:dyDescent="0.25">
      <c r="D289">
        <v>2</v>
      </c>
      <c r="E289" t="s">
        <v>155</v>
      </c>
      <c r="F289" t="s">
        <v>772</v>
      </c>
      <c r="G289">
        <v>77</v>
      </c>
      <c r="H289" t="s">
        <v>773</v>
      </c>
      <c r="I289">
        <v>269</v>
      </c>
      <c r="J289" t="s">
        <v>774</v>
      </c>
      <c r="K289">
        <v>1903621</v>
      </c>
    </row>
    <row r="290" spans="4:11" x14ac:dyDescent="0.25">
      <c r="D290">
        <v>2</v>
      </c>
      <c r="E290" t="s">
        <v>50</v>
      </c>
      <c r="F290" t="s">
        <v>775</v>
      </c>
      <c r="G290">
        <v>55</v>
      </c>
      <c r="H290" t="s">
        <v>776</v>
      </c>
      <c r="I290">
        <v>207</v>
      </c>
      <c r="J290" t="s">
        <v>777</v>
      </c>
      <c r="K290">
        <v>1905347</v>
      </c>
    </row>
    <row r="291" spans="4:11" x14ac:dyDescent="0.25">
      <c r="D291">
        <v>2</v>
      </c>
      <c r="E291" t="s">
        <v>255</v>
      </c>
      <c r="F291" t="s">
        <v>778</v>
      </c>
      <c r="G291">
        <v>66</v>
      </c>
      <c r="H291" t="s">
        <v>779</v>
      </c>
      <c r="I291">
        <v>65</v>
      </c>
      <c r="J291" t="s">
        <v>780</v>
      </c>
      <c r="K291">
        <v>1905369</v>
      </c>
    </row>
    <row r="292" spans="4:11" x14ac:dyDescent="0.25">
      <c r="D292">
        <v>2</v>
      </c>
      <c r="E292" t="s">
        <v>24</v>
      </c>
      <c r="F292" t="s">
        <v>259</v>
      </c>
      <c r="G292">
        <v>93</v>
      </c>
      <c r="H292" t="s">
        <v>260</v>
      </c>
      <c r="I292">
        <v>268</v>
      </c>
      <c r="J292" t="s">
        <v>261</v>
      </c>
      <c r="K292">
        <v>1905860</v>
      </c>
    </row>
    <row r="293" spans="4:11" x14ac:dyDescent="0.25">
      <c r="D293">
        <v>2</v>
      </c>
      <c r="E293" t="s">
        <v>35</v>
      </c>
      <c r="F293" t="s">
        <v>781</v>
      </c>
      <c r="G293">
        <v>82</v>
      </c>
      <c r="H293" t="s">
        <v>782</v>
      </c>
      <c r="I293">
        <v>184</v>
      </c>
      <c r="J293" t="s">
        <v>783</v>
      </c>
      <c r="K293">
        <v>1907234</v>
      </c>
    </row>
    <row r="294" spans="4:11" x14ac:dyDescent="0.25">
      <c r="D294">
        <v>2</v>
      </c>
      <c r="E294" t="s">
        <v>20</v>
      </c>
      <c r="F294" t="s">
        <v>784</v>
      </c>
      <c r="G294">
        <v>102</v>
      </c>
      <c r="H294" t="s">
        <v>785</v>
      </c>
      <c r="I294">
        <v>8</v>
      </c>
      <c r="J294" t="s">
        <v>786</v>
      </c>
      <c r="K294">
        <v>1908195</v>
      </c>
    </row>
    <row r="295" spans="4:11" x14ac:dyDescent="0.25">
      <c r="D295">
        <v>2</v>
      </c>
      <c r="E295" t="s">
        <v>24</v>
      </c>
      <c r="F295" t="s">
        <v>787</v>
      </c>
      <c r="G295">
        <v>72</v>
      </c>
      <c r="H295" t="s">
        <v>788</v>
      </c>
      <c r="I295">
        <v>245</v>
      </c>
      <c r="J295" t="s">
        <v>789</v>
      </c>
      <c r="K295">
        <v>1909209</v>
      </c>
    </row>
    <row r="296" spans="4:11" x14ac:dyDescent="0.25">
      <c r="D296">
        <v>2</v>
      </c>
      <c r="E296" t="s">
        <v>50</v>
      </c>
      <c r="F296" t="s">
        <v>790</v>
      </c>
      <c r="G296">
        <v>42</v>
      </c>
      <c r="H296" t="s">
        <v>791</v>
      </c>
      <c r="I296">
        <v>284</v>
      </c>
      <c r="J296" t="s">
        <v>790</v>
      </c>
      <c r="K296">
        <v>1910372</v>
      </c>
    </row>
    <row r="297" spans="4:11" x14ac:dyDescent="0.25">
      <c r="D297">
        <v>2</v>
      </c>
      <c r="E297" t="s">
        <v>43</v>
      </c>
      <c r="F297" t="s">
        <v>280</v>
      </c>
      <c r="G297">
        <v>110</v>
      </c>
      <c r="H297" t="s">
        <v>281</v>
      </c>
      <c r="I297">
        <v>50</v>
      </c>
      <c r="J297" t="s">
        <v>282</v>
      </c>
      <c r="K297">
        <v>1910451</v>
      </c>
    </row>
    <row r="298" spans="4:11" x14ac:dyDescent="0.25">
      <c r="D298">
        <v>2</v>
      </c>
      <c r="E298" t="s">
        <v>16</v>
      </c>
      <c r="F298" t="s">
        <v>792</v>
      </c>
      <c r="G298">
        <v>72</v>
      </c>
      <c r="H298" t="s">
        <v>793</v>
      </c>
      <c r="I298">
        <v>54</v>
      </c>
      <c r="J298" t="s">
        <v>794</v>
      </c>
      <c r="K298">
        <v>1911932</v>
      </c>
    </row>
    <row r="299" spans="4:11" x14ac:dyDescent="0.25">
      <c r="D299">
        <v>2</v>
      </c>
      <c r="E299" t="s">
        <v>183</v>
      </c>
      <c r="F299" t="s">
        <v>795</v>
      </c>
      <c r="G299">
        <v>77</v>
      </c>
      <c r="H299" t="s">
        <v>796</v>
      </c>
      <c r="I299">
        <v>121</v>
      </c>
      <c r="J299" t="s">
        <v>797</v>
      </c>
      <c r="K299">
        <v>1912525</v>
      </c>
    </row>
    <row r="300" spans="4:11" x14ac:dyDescent="0.25">
      <c r="D300">
        <v>2</v>
      </c>
      <c r="E300" t="s">
        <v>24</v>
      </c>
      <c r="F300" t="s">
        <v>798</v>
      </c>
      <c r="G300">
        <v>77</v>
      </c>
      <c r="H300" t="s">
        <v>799</v>
      </c>
      <c r="I300">
        <v>113</v>
      </c>
      <c r="J300" t="s">
        <v>800</v>
      </c>
      <c r="K300">
        <v>1912548</v>
      </c>
    </row>
    <row r="302" spans="4:11" x14ac:dyDescent="0.25">
      <c r="D302">
        <v>2</v>
      </c>
      <c r="E302" t="s">
        <v>43</v>
      </c>
      <c r="F302" t="s">
        <v>801</v>
      </c>
      <c r="G302">
        <v>42</v>
      </c>
      <c r="H302" t="s">
        <v>802</v>
      </c>
      <c r="I302">
        <v>71</v>
      </c>
      <c r="J302" t="s">
        <v>801</v>
      </c>
      <c r="K302">
        <v>1913436</v>
      </c>
    </row>
    <row r="303" spans="4:11" x14ac:dyDescent="0.25">
      <c r="D303">
        <v>2</v>
      </c>
      <c r="E303" t="s">
        <v>54</v>
      </c>
      <c r="F303" t="s">
        <v>803</v>
      </c>
      <c r="G303">
        <v>42</v>
      </c>
      <c r="H303" t="s">
        <v>804</v>
      </c>
      <c r="I303">
        <v>237</v>
      </c>
      <c r="J303" t="s">
        <v>803</v>
      </c>
      <c r="K303">
        <v>1913699</v>
      </c>
    </row>
    <row r="304" spans="4:11" x14ac:dyDescent="0.25">
      <c r="D304">
        <v>2</v>
      </c>
      <c r="E304" t="s">
        <v>50</v>
      </c>
      <c r="F304" t="s">
        <v>805</v>
      </c>
      <c r="G304">
        <v>42</v>
      </c>
      <c r="H304" t="s">
        <v>806</v>
      </c>
      <c r="I304">
        <v>235</v>
      </c>
      <c r="J304" t="s">
        <v>805</v>
      </c>
      <c r="K304">
        <v>1913702</v>
      </c>
    </row>
    <row r="305" spans="4:11" x14ac:dyDescent="0.25">
      <c r="D305">
        <v>2</v>
      </c>
      <c r="E305" t="s">
        <v>24</v>
      </c>
      <c r="F305" t="s">
        <v>807</v>
      </c>
      <c r="G305">
        <v>82</v>
      </c>
      <c r="H305" t="s">
        <v>808</v>
      </c>
      <c r="I305">
        <v>99</v>
      </c>
      <c r="J305" t="s">
        <v>809</v>
      </c>
      <c r="K305">
        <v>1913770</v>
      </c>
    </row>
    <row r="306" spans="4:11" x14ac:dyDescent="0.25">
      <c r="D306">
        <v>2</v>
      </c>
      <c r="E306" t="s">
        <v>8</v>
      </c>
      <c r="F306" t="s">
        <v>810</v>
      </c>
      <c r="G306">
        <v>42</v>
      </c>
      <c r="H306" t="s">
        <v>811</v>
      </c>
      <c r="I306">
        <v>219</v>
      </c>
      <c r="J306" t="s">
        <v>810</v>
      </c>
      <c r="K306">
        <v>1913928</v>
      </c>
    </row>
    <row r="307" spans="4:11" x14ac:dyDescent="0.25">
      <c r="D307">
        <v>2</v>
      </c>
      <c r="E307" t="s">
        <v>12</v>
      </c>
      <c r="F307" t="s">
        <v>812</v>
      </c>
      <c r="G307">
        <v>42</v>
      </c>
      <c r="H307" t="s">
        <v>813</v>
      </c>
      <c r="I307">
        <v>221</v>
      </c>
      <c r="J307" t="s">
        <v>812</v>
      </c>
      <c r="K307">
        <v>1913945</v>
      </c>
    </row>
    <row r="308" spans="4:11" x14ac:dyDescent="0.25">
      <c r="D308">
        <v>2</v>
      </c>
      <c r="E308" t="s">
        <v>183</v>
      </c>
      <c r="F308" t="s">
        <v>814</v>
      </c>
      <c r="G308">
        <v>134</v>
      </c>
      <c r="H308" t="s">
        <v>815</v>
      </c>
      <c r="I308">
        <v>168</v>
      </c>
      <c r="J308" t="s">
        <v>816</v>
      </c>
      <c r="K308">
        <v>1914467</v>
      </c>
    </row>
    <row r="309" spans="4:11" x14ac:dyDescent="0.25">
      <c r="D309">
        <v>2</v>
      </c>
      <c r="E309" t="s">
        <v>39</v>
      </c>
      <c r="F309" t="s">
        <v>817</v>
      </c>
      <c r="G309">
        <v>82</v>
      </c>
      <c r="H309" t="s">
        <v>818</v>
      </c>
      <c r="I309">
        <v>145</v>
      </c>
      <c r="J309" t="s">
        <v>819</v>
      </c>
      <c r="K309">
        <v>1914909</v>
      </c>
    </row>
    <row r="310" spans="4:11" x14ac:dyDescent="0.25">
      <c r="D310">
        <v>2</v>
      </c>
      <c r="E310" t="s">
        <v>24</v>
      </c>
      <c r="F310" t="s">
        <v>820</v>
      </c>
      <c r="G310">
        <v>104</v>
      </c>
      <c r="H310" t="s">
        <v>821</v>
      </c>
      <c r="I310">
        <v>225</v>
      </c>
      <c r="J310" t="s">
        <v>822</v>
      </c>
      <c r="K310">
        <v>1915317</v>
      </c>
    </row>
    <row r="311" spans="4:11" x14ac:dyDescent="0.25">
      <c r="D311">
        <v>2</v>
      </c>
      <c r="E311" t="s">
        <v>35</v>
      </c>
      <c r="F311" t="s">
        <v>823</v>
      </c>
      <c r="G311">
        <v>31</v>
      </c>
      <c r="H311" t="s">
        <v>824</v>
      </c>
      <c r="I311">
        <v>47</v>
      </c>
      <c r="J311" t="s">
        <v>825</v>
      </c>
      <c r="K311">
        <v>1915338</v>
      </c>
    </row>
    <row r="312" spans="4:11" x14ac:dyDescent="0.25">
      <c r="D312">
        <v>2</v>
      </c>
      <c r="E312" t="s">
        <v>39</v>
      </c>
      <c r="F312" t="s">
        <v>826</v>
      </c>
      <c r="G312">
        <v>10</v>
      </c>
      <c r="H312" t="s">
        <v>827</v>
      </c>
      <c r="I312">
        <v>11</v>
      </c>
      <c r="J312" t="s">
        <v>828</v>
      </c>
      <c r="K312">
        <v>1915828</v>
      </c>
    </row>
    <row r="313" spans="4:11" x14ac:dyDescent="0.25">
      <c r="D313">
        <v>2</v>
      </c>
      <c r="E313" t="s">
        <v>183</v>
      </c>
      <c r="F313" t="s">
        <v>829</v>
      </c>
      <c r="G313">
        <v>72</v>
      </c>
      <c r="H313" t="s">
        <v>830</v>
      </c>
      <c r="I313">
        <v>148</v>
      </c>
      <c r="J313" t="s">
        <v>831</v>
      </c>
      <c r="K313">
        <v>1916183</v>
      </c>
    </row>
    <row r="314" spans="4:11" x14ac:dyDescent="0.25">
      <c r="D314">
        <v>2</v>
      </c>
      <c r="E314" t="s">
        <v>107</v>
      </c>
      <c r="F314" t="s">
        <v>832</v>
      </c>
      <c r="G314">
        <v>72</v>
      </c>
      <c r="H314" t="s">
        <v>833</v>
      </c>
      <c r="I314">
        <v>151</v>
      </c>
      <c r="J314" t="s">
        <v>834</v>
      </c>
      <c r="K314">
        <v>1916194</v>
      </c>
    </row>
    <row r="315" spans="4:11" x14ac:dyDescent="0.25">
      <c r="D315">
        <v>2</v>
      </c>
      <c r="E315" t="s">
        <v>12</v>
      </c>
      <c r="F315" t="s">
        <v>835</v>
      </c>
      <c r="G315">
        <v>72</v>
      </c>
      <c r="H315" t="s">
        <v>836</v>
      </c>
      <c r="I315">
        <v>150</v>
      </c>
      <c r="J315" t="s">
        <v>837</v>
      </c>
      <c r="K315">
        <v>1916222</v>
      </c>
    </row>
    <row r="316" spans="4:11" x14ac:dyDescent="0.25">
      <c r="D316">
        <v>2</v>
      </c>
      <c r="E316" t="s">
        <v>39</v>
      </c>
      <c r="F316" t="s">
        <v>838</v>
      </c>
      <c r="G316">
        <v>93</v>
      </c>
      <c r="H316" t="s">
        <v>839</v>
      </c>
      <c r="I316">
        <v>39</v>
      </c>
      <c r="J316" t="s">
        <v>840</v>
      </c>
      <c r="K316">
        <v>1916814</v>
      </c>
    </row>
    <row r="317" spans="4:11" x14ac:dyDescent="0.25">
      <c r="D317">
        <v>2</v>
      </c>
      <c r="E317" t="s">
        <v>155</v>
      </c>
      <c r="F317" t="s">
        <v>841</v>
      </c>
      <c r="G317">
        <v>42</v>
      </c>
      <c r="H317" t="s">
        <v>842</v>
      </c>
      <c r="I317">
        <v>293</v>
      </c>
      <c r="J317" t="s">
        <v>841</v>
      </c>
      <c r="K317">
        <v>1918790</v>
      </c>
    </row>
    <row r="318" spans="4:11" x14ac:dyDescent="0.25">
      <c r="D318">
        <v>2</v>
      </c>
      <c r="E318" t="s">
        <v>24</v>
      </c>
      <c r="F318" t="s">
        <v>843</v>
      </c>
      <c r="G318">
        <v>42</v>
      </c>
      <c r="H318" t="s">
        <v>844</v>
      </c>
      <c r="I318">
        <v>7</v>
      </c>
      <c r="J318" t="s">
        <v>843</v>
      </c>
      <c r="K318">
        <v>1918864</v>
      </c>
    </row>
    <row r="319" spans="4:11" x14ac:dyDescent="0.25">
      <c r="D319">
        <v>2</v>
      </c>
      <c r="E319" t="s">
        <v>39</v>
      </c>
      <c r="F319" t="s">
        <v>324</v>
      </c>
      <c r="G319">
        <v>42</v>
      </c>
      <c r="H319" t="s">
        <v>325</v>
      </c>
      <c r="I319">
        <v>10</v>
      </c>
      <c r="J319" t="s">
        <v>324</v>
      </c>
      <c r="K319">
        <v>1918865</v>
      </c>
    </row>
    <row r="320" spans="4:11" x14ac:dyDescent="0.25">
      <c r="D320">
        <v>2</v>
      </c>
      <c r="E320" t="s">
        <v>39</v>
      </c>
      <c r="F320" t="s">
        <v>845</v>
      </c>
      <c r="G320">
        <v>42</v>
      </c>
      <c r="H320" t="s">
        <v>846</v>
      </c>
      <c r="I320">
        <v>17</v>
      </c>
      <c r="J320" t="s">
        <v>845</v>
      </c>
      <c r="K320">
        <v>1918872</v>
      </c>
    </row>
    <row r="321" spans="4:11" x14ac:dyDescent="0.25">
      <c r="D321">
        <v>2</v>
      </c>
      <c r="E321" t="s">
        <v>43</v>
      </c>
      <c r="F321" t="s">
        <v>847</v>
      </c>
      <c r="G321">
        <v>42</v>
      </c>
      <c r="H321" t="s">
        <v>848</v>
      </c>
      <c r="I321">
        <v>18</v>
      </c>
      <c r="J321" t="s">
        <v>847</v>
      </c>
      <c r="K321">
        <v>1918881</v>
      </c>
    </row>
    <row r="322" spans="4:11" x14ac:dyDescent="0.25">
      <c r="D322">
        <v>2</v>
      </c>
      <c r="E322" t="s">
        <v>43</v>
      </c>
      <c r="F322" t="s">
        <v>849</v>
      </c>
      <c r="G322">
        <v>42</v>
      </c>
      <c r="H322" t="s">
        <v>850</v>
      </c>
      <c r="I322">
        <v>61</v>
      </c>
      <c r="J322" t="s">
        <v>849</v>
      </c>
      <c r="K322">
        <v>1919067</v>
      </c>
    </row>
    <row r="323" spans="4:11" x14ac:dyDescent="0.25">
      <c r="D323">
        <v>2</v>
      </c>
      <c r="E323" t="s">
        <v>64</v>
      </c>
      <c r="F323" t="s">
        <v>851</v>
      </c>
      <c r="G323">
        <v>42</v>
      </c>
      <c r="H323" t="s">
        <v>852</v>
      </c>
      <c r="I323">
        <v>312</v>
      </c>
      <c r="J323" t="s">
        <v>851</v>
      </c>
      <c r="K323">
        <v>1919973</v>
      </c>
    </row>
    <row r="324" spans="4:11" x14ac:dyDescent="0.25">
      <c r="D324">
        <v>2</v>
      </c>
      <c r="E324" t="s">
        <v>54</v>
      </c>
      <c r="F324" t="s">
        <v>853</v>
      </c>
      <c r="G324">
        <v>82</v>
      </c>
      <c r="H324" t="s">
        <v>854</v>
      </c>
      <c r="I324">
        <v>58</v>
      </c>
      <c r="J324" t="s">
        <v>855</v>
      </c>
      <c r="K324">
        <v>1920175</v>
      </c>
    </row>
    <row r="325" spans="4:11" x14ac:dyDescent="0.25">
      <c r="D325">
        <v>2</v>
      </c>
      <c r="E325" t="s">
        <v>20</v>
      </c>
      <c r="F325" t="s">
        <v>856</v>
      </c>
      <c r="G325">
        <v>82</v>
      </c>
      <c r="H325" t="s">
        <v>857</v>
      </c>
      <c r="I325">
        <v>41</v>
      </c>
      <c r="J325" t="s">
        <v>858</v>
      </c>
      <c r="K325">
        <v>1920180</v>
      </c>
    </row>
    <row r="326" spans="4:11" x14ac:dyDescent="0.25">
      <c r="D326">
        <v>2</v>
      </c>
      <c r="E326" t="s">
        <v>50</v>
      </c>
      <c r="F326" t="s">
        <v>859</v>
      </c>
      <c r="G326">
        <v>125</v>
      </c>
      <c r="H326" t="s">
        <v>860</v>
      </c>
      <c r="I326">
        <v>38</v>
      </c>
      <c r="J326" t="s">
        <v>861</v>
      </c>
      <c r="K326">
        <v>1922593</v>
      </c>
    </row>
    <row r="327" spans="4:11" x14ac:dyDescent="0.25">
      <c r="D327">
        <v>2</v>
      </c>
      <c r="E327" t="s">
        <v>183</v>
      </c>
      <c r="F327" t="s">
        <v>862</v>
      </c>
      <c r="G327">
        <v>104</v>
      </c>
      <c r="H327" t="s">
        <v>863</v>
      </c>
      <c r="I327">
        <v>120</v>
      </c>
      <c r="J327" t="s">
        <v>864</v>
      </c>
      <c r="K327">
        <v>1923520</v>
      </c>
    </row>
    <row r="328" spans="4:11" x14ac:dyDescent="0.25">
      <c r="D328">
        <v>2</v>
      </c>
      <c r="E328" t="s">
        <v>39</v>
      </c>
      <c r="F328" t="s">
        <v>865</v>
      </c>
      <c r="G328">
        <v>77</v>
      </c>
      <c r="H328" t="s">
        <v>866</v>
      </c>
      <c r="I328">
        <v>162</v>
      </c>
      <c r="J328" t="s">
        <v>867</v>
      </c>
      <c r="K328">
        <v>1923629</v>
      </c>
    </row>
    <row r="329" spans="4:11" x14ac:dyDescent="0.25">
      <c r="D329">
        <v>2</v>
      </c>
      <c r="E329" t="s">
        <v>12</v>
      </c>
      <c r="F329" t="s">
        <v>868</v>
      </c>
      <c r="G329">
        <v>104</v>
      </c>
      <c r="H329" t="s">
        <v>869</v>
      </c>
      <c r="I329">
        <v>152</v>
      </c>
      <c r="J329" t="s">
        <v>870</v>
      </c>
      <c r="K329">
        <v>1924289</v>
      </c>
    </row>
    <row r="330" spans="4:11" x14ac:dyDescent="0.25">
      <c r="D330">
        <v>2</v>
      </c>
      <c r="E330" t="s">
        <v>50</v>
      </c>
      <c r="F330" t="s">
        <v>871</v>
      </c>
      <c r="G330">
        <v>77</v>
      </c>
      <c r="H330" t="s">
        <v>872</v>
      </c>
      <c r="I330">
        <v>24</v>
      </c>
      <c r="J330" t="s">
        <v>873</v>
      </c>
      <c r="K330">
        <v>1924430</v>
      </c>
    </row>
    <row r="331" spans="4:11" x14ac:dyDescent="0.25">
      <c r="D331">
        <v>2</v>
      </c>
      <c r="E331" t="s">
        <v>64</v>
      </c>
      <c r="F331" t="s">
        <v>874</v>
      </c>
      <c r="G331">
        <v>77</v>
      </c>
      <c r="H331" t="s">
        <v>875</v>
      </c>
      <c r="I331">
        <v>26</v>
      </c>
      <c r="J331" t="s">
        <v>876</v>
      </c>
      <c r="K331">
        <v>1924440</v>
      </c>
    </row>
    <row r="332" spans="4:11" x14ac:dyDescent="0.25">
      <c r="D332">
        <v>2</v>
      </c>
      <c r="E332" t="s">
        <v>39</v>
      </c>
      <c r="F332" t="s">
        <v>877</v>
      </c>
      <c r="G332">
        <v>104</v>
      </c>
      <c r="H332" t="s">
        <v>878</v>
      </c>
      <c r="I332">
        <v>262</v>
      </c>
      <c r="J332" t="s">
        <v>879</v>
      </c>
      <c r="K332">
        <v>1925630</v>
      </c>
    </row>
    <row r="333" spans="4:11" x14ac:dyDescent="0.25">
      <c r="D333">
        <v>2</v>
      </c>
      <c r="E333" t="s">
        <v>43</v>
      </c>
      <c r="F333" t="s">
        <v>880</v>
      </c>
      <c r="G333">
        <v>200</v>
      </c>
      <c r="H333" t="s">
        <v>881</v>
      </c>
      <c r="I333">
        <v>70</v>
      </c>
      <c r="J333" t="s">
        <v>882</v>
      </c>
      <c r="K333">
        <v>1926294</v>
      </c>
    </row>
    <row r="334" spans="4:11" x14ac:dyDescent="0.25">
      <c r="D334">
        <v>2</v>
      </c>
      <c r="E334" t="s">
        <v>24</v>
      </c>
      <c r="F334" t="s">
        <v>883</v>
      </c>
      <c r="G334">
        <v>153</v>
      </c>
      <c r="H334" t="s">
        <v>884</v>
      </c>
      <c r="I334">
        <v>296</v>
      </c>
      <c r="J334" t="s">
        <v>885</v>
      </c>
      <c r="K334">
        <v>1926549</v>
      </c>
    </row>
    <row r="335" spans="4:11" x14ac:dyDescent="0.25">
      <c r="D335">
        <v>2</v>
      </c>
      <c r="E335" t="s">
        <v>35</v>
      </c>
      <c r="F335" t="s">
        <v>886</v>
      </c>
      <c r="G335">
        <v>153</v>
      </c>
      <c r="H335" t="s">
        <v>887</v>
      </c>
      <c r="I335">
        <v>60</v>
      </c>
      <c r="J335" t="s">
        <v>888</v>
      </c>
      <c r="K335">
        <v>1926695</v>
      </c>
    </row>
    <row r="336" spans="4:11" x14ac:dyDescent="0.25">
      <c r="D336">
        <v>2</v>
      </c>
      <c r="E336" t="s">
        <v>35</v>
      </c>
      <c r="F336" t="s">
        <v>889</v>
      </c>
      <c r="G336">
        <v>42</v>
      </c>
      <c r="H336" t="s">
        <v>890</v>
      </c>
      <c r="I336">
        <v>92</v>
      </c>
      <c r="J336" t="s">
        <v>889</v>
      </c>
      <c r="K336">
        <v>1926827</v>
      </c>
    </row>
    <row r="337" spans="4:11" x14ac:dyDescent="0.25">
      <c r="D337">
        <v>2</v>
      </c>
      <c r="E337" t="s">
        <v>64</v>
      </c>
      <c r="F337" t="s">
        <v>891</v>
      </c>
      <c r="G337">
        <v>42</v>
      </c>
      <c r="H337" t="s">
        <v>892</v>
      </c>
      <c r="I337">
        <v>91</v>
      </c>
      <c r="J337" t="s">
        <v>891</v>
      </c>
      <c r="K337">
        <v>1926828</v>
      </c>
    </row>
    <row r="338" spans="4:11" x14ac:dyDescent="0.25">
      <c r="D338">
        <v>2</v>
      </c>
      <c r="E338" t="s">
        <v>20</v>
      </c>
      <c r="F338" t="s">
        <v>893</v>
      </c>
      <c r="G338">
        <v>153</v>
      </c>
      <c r="H338" t="s">
        <v>894</v>
      </c>
      <c r="I338">
        <v>195</v>
      </c>
      <c r="J338" t="s">
        <v>895</v>
      </c>
      <c r="K338">
        <v>1927027</v>
      </c>
    </row>
    <row r="339" spans="4:11" x14ac:dyDescent="0.25">
      <c r="D339">
        <v>2</v>
      </c>
      <c r="E339" t="s">
        <v>20</v>
      </c>
      <c r="F339" t="s">
        <v>896</v>
      </c>
      <c r="G339">
        <v>102</v>
      </c>
      <c r="H339" t="s">
        <v>897</v>
      </c>
      <c r="I339">
        <v>209</v>
      </c>
      <c r="J339" t="s">
        <v>898</v>
      </c>
      <c r="K339">
        <v>1927733</v>
      </c>
    </row>
    <row r="340" spans="4:11" x14ac:dyDescent="0.25">
      <c r="D340">
        <v>2</v>
      </c>
      <c r="E340" t="s">
        <v>12</v>
      </c>
      <c r="F340" t="s">
        <v>899</v>
      </c>
      <c r="G340">
        <v>113</v>
      </c>
      <c r="H340" t="s">
        <v>900</v>
      </c>
      <c r="I340">
        <v>170</v>
      </c>
      <c r="J340" t="s">
        <v>899</v>
      </c>
      <c r="K340">
        <v>1928067</v>
      </c>
    </row>
    <row r="341" spans="4:11" x14ac:dyDescent="0.25">
      <c r="D341">
        <v>2</v>
      </c>
      <c r="E341" t="s">
        <v>155</v>
      </c>
      <c r="F341" t="s">
        <v>901</v>
      </c>
      <c r="G341">
        <v>113</v>
      </c>
      <c r="H341" t="s">
        <v>902</v>
      </c>
      <c r="I341">
        <v>181</v>
      </c>
      <c r="J341" t="s">
        <v>901</v>
      </c>
      <c r="K341">
        <v>1928072</v>
      </c>
    </row>
    <row r="342" spans="4:11" x14ac:dyDescent="0.25">
      <c r="D342">
        <v>2</v>
      </c>
      <c r="E342" t="s">
        <v>20</v>
      </c>
      <c r="F342" t="s">
        <v>903</v>
      </c>
      <c r="G342">
        <v>109</v>
      </c>
      <c r="H342" t="s">
        <v>904</v>
      </c>
      <c r="I342">
        <v>9</v>
      </c>
      <c r="J342" t="s">
        <v>905</v>
      </c>
      <c r="K342">
        <v>1931577</v>
      </c>
    </row>
    <row r="343" spans="4:11" x14ac:dyDescent="0.25">
      <c r="D343">
        <v>2</v>
      </c>
      <c r="E343" t="s">
        <v>50</v>
      </c>
      <c r="F343" t="s">
        <v>906</v>
      </c>
      <c r="G343">
        <v>109</v>
      </c>
      <c r="H343" t="s">
        <v>907</v>
      </c>
      <c r="I343">
        <v>85</v>
      </c>
      <c r="J343" t="s">
        <v>908</v>
      </c>
      <c r="K343">
        <v>1932824</v>
      </c>
    </row>
    <row r="344" spans="4:11" x14ac:dyDescent="0.25">
      <c r="D344">
        <v>2</v>
      </c>
      <c r="E344" t="s">
        <v>54</v>
      </c>
      <c r="F344" t="s">
        <v>909</v>
      </c>
      <c r="G344">
        <v>165</v>
      </c>
      <c r="H344" t="s">
        <v>910</v>
      </c>
      <c r="I344">
        <v>126</v>
      </c>
      <c r="J344" t="s">
        <v>911</v>
      </c>
      <c r="K344">
        <v>1933816</v>
      </c>
    </row>
    <row r="345" spans="4:11" x14ac:dyDescent="0.25">
      <c r="D345">
        <v>2</v>
      </c>
      <c r="E345" t="s">
        <v>16</v>
      </c>
      <c r="F345" t="s">
        <v>912</v>
      </c>
      <c r="G345">
        <v>66</v>
      </c>
      <c r="H345" t="s">
        <v>913</v>
      </c>
      <c r="I345">
        <v>87</v>
      </c>
      <c r="J345" t="s">
        <v>914</v>
      </c>
      <c r="K345">
        <v>1934775</v>
      </c>
    </row>
    <row r="346" spans="4:11" x14ac:dyDescent="0.25">
      <c r="D346">
        <v>2</v>
      </c>
      <c r="E346" t="s">
        <v>64</v>
      </c>
      <c r="F346" t="s">
        <v>915</v>
      </c>
      <c r="G346">
        <v>41</v>
      </c>
      <c r="H346" t="s">
        <v>916</v>
      </c>
      <c r="I346">
        <v>317</v>
      </c>
      <c r="J346" t="s">
        <v>917</v>
      </c>
      <c r="K346">
        <v>1935199</v>
      </c>
    </row>
    <row r="347" spans="4:11" x14ac:dyDescent="0.25">
      <c r="D347">
        <v>2</v>
      </c>
      <c r="E347" t="s">
        <v>43</v>
      </c>
      <c r="F347" t="s">
        <v>918</v>
      </c>
      <c r="G347">
        <v>48</v>
      </c>
      <c r="H347" t="s">
        <v>919</v>
      </c>
      <c r="I347">
        <v>13</v>
      </c>
      <c r="J347" t="s">
        <v>920</v>
      </c>
      <c r="K347">
        <v>1935685</v>
      </c>
    </row>
    <row r="348" spans="4:11" x14ac:dyDescent="0.25">
      <c r="D348">
        <v>2</v>
      </c>
      <c r="E348" t="s">
        <v>183</v>
      </c>
      <c r="F348" t="s">
        <v>921</v>
      </c>
      <c r="G348">
        <v>207</v>
      </c>
      <c r="H348" t="s">
        <v>922</v>
      </c>
      <c r="I348">
        <v>153</v>
      </c>
      <c r="J348" t="s">
        <v>923</v>
      </c>
      <c r="K348">
        <v>1937783</v>
      </c>
    </row>
    <row r="349" spans="4:11" x14ac:dyDescent="0.25">
      <c r="D349">
        <v>2</v>
      </c>
      <c r="E349" t="s">
        <v>155</v>
      </c>
      <c r="F349" t="s">
        <v>924</v>
      </c>
      <c r="G349">
        <v>3</v>
      </c>
      <c r="H349" t="s">
        <v>925</v>
      </c>
      <c r="I349">
        <v>294</v>
      </c>
      <c r="J349" t="s">
        <v>926</v>
      </c>
      <c r="K349">
        <v>1938437</v>
      </c>
    </row>
    <row r="350" spans="4:11" x14ac:dyDescent="0.25">
      <c r="D350">
        <v>2</v>
      </c>
      <c r="E350" t="s">
        <v>35</v>
      </c>
      <c r="F350" t="s">
        <v>927</v>
      </c>
      <c r="G350">
        <v>165</v>
      </c>
      <c r="H350" t="s">
        <v>928</v>
      </c>
      <c r="I350">
        <v>36</v>
      </c>
      <c r="J350" t="s">
        <v>929</v>
      </c>
      <c r="K350">
        <v>1938792</v>
      </c>
    </row>
    <row r="351" spans="4:11" x14ac:dyDescent="0.25">
      <c r="D351">
        <v>2</v>
      </c>
      <c r="E351" t="s">
        <v>64</v>
      </c>
      <c r="F351" t="s">
        <v>930</v>
      </c>
      <c r="G351">
        <v>106</v>
      </c>
      <c r="H351" t="s">
        <v>931</v>
      </c>
      <c r="I351">
        <v>35</v>
      </c>
      <c r="J351" t="s">
        <v>932</v>
      </c>
      <c r="K351">
        <v>1938899</v>
      </c>
    </row>
    <row r="352" spans="4:11" x14ac:dyDescent="0.25">
      <c r="D352">
        <v>2</v>
      </c>
      <c r="E352" t="s">
        <v>16</v>
      </c>
      <c r="F352" t="s">
        <v>933</v>
      </c>
      <c r="G352">
        <v>108</v>
      </c>
      <c r="H352" t="s">
        <v>934</v>
      </c>
      <c r="I352">
        <v>326</v>
      </c>
      <c r="J352" t="s">
        <v>933</v>
      </c>
      <c r="K352">
        <v>1939708</v>
      </c>
    </row>
    <row r="353" spans="4:11" x14ac:dyDescent="0.25">
      <c r="D353">
        <v>2</v>
      </c>
      <c r="E353" t="s">
        <v>16</v>
      </c>
      <c r="F353" t="s">
        <v>935</v>
      </c>
      <c r="G353">
        <v>13</v>
      </c>
      <c r="H353" t="s">
        <v>936</v>
      </c>
      <c r="I353">
        <v>49</v>
      </c>
      <c r="J353" t="s">
        <v>937</v>
      </c>
      <c r="K353">
        <v>1939795</v>
      </c>
    </row>
    <row r="354" spans="4:11" x14ac:dyDescent="0.25">
      <c r="D354">
        <v>2</v>
      </c>
      <c r="E354" t="s">
        <v>39</v>
      </c>
      <c r="F354" t="s">
        <v>938</v>
      </c>
      <c r="G354">
        <v>13</v>
      </c>
      <c r="H354" t="s">
        <v>939</v>
      </c>
      <c r="I354">
        <v>56</v>
      </c>
      <c r="J354" t="s">
        <v>940</v>
      </c>
      <c r="K354">
        <v>1939838</v>
      </c>
    </row>
    <row r="355" spans="4:11" x14ac:dyDescent="0.25">
      <c r="D355">
        <v>2</v>
      </c>
      <c r="E355" t="s">
        <v>35</v>
      </c>
      <c r="F355" t="s">
        <v>941</v>
      </c>
      <c r="G355">
        <v>13</v>
      </c>
      <c r="H355" t="s">
        <v>942</v>
      </c>
      <c r="I355">
        <v>123</v>
      </c>
      <c r="J355" t="s">
        <v>943</v>
      </c>
      <c r="K355">
        <v>1940263</v>
      </c>
    </row>
    <row r="356" spans="4:11" x14ac:dyDescent="0.25">
      <c r="D356">
        <v>2</v>
      </c>
      <c r="E356" t="s">
        <v>31</v>
      </c>
      <c r="F356" t="s">
        <v>941</v>
      </c>
      <c r="G356">
        <v>13</v>
      </c>
      <c r="H356" t="s">
        <v>942</v>
      </c>
      <c r="I356">
        <v>124</v>
      </c>
      <c r="J356" t="s">
        <v>943</v>
      </c>
      <c r="K356">
        <v>1940263</v>
      </c>
    </row>
    <row r="357" spans="4:11" x14ac:dyDescent="0.25">
      <c r="D357">
        <v>2</v>
      </c>
      <c r="E357" t="s">
        <v>35</v>
      </c>
      <c r="F357" t="s">
        <v>944</v>
      </c>
      <c r="G357">
        <v>13</v>
      </c>
      <c r="H357" t="s">
        <v>945</v>
      </c>
      <c r="I357">
        <v>134</v>
      </c>
      <c r="J357" t="s">
        <v>946</v>
      </c>
      <c r="K357">
        <v>1940414</v>
      </c>
    </row>
    <row r="358" spans="4:11" x14ac:dyDescent="0.25">
      <c r="D358">
        <v>2</v>
      </c>
      <c r="E358" t="s">
        <v>12</v>
      </c>
      <c r="F358" t="s">
        <v>947</v>
      </c>
      <c r="G358">
        <v>13</v>
      </c>
      <c r="H358" t="s">
        <v>948</v>
      </c>
      <c r="I358">
        <v>143</v>
      </c>
      <c r="J358" t="s">
        <v>949</v>
      </c>
      <c r="K358">
        <v>1940438</v>
      </c>
    </row>
    <row r="359" spans="4:11" x14ac:dyDescent="0.25">
      <c r="D359">
        <v>2</v>
      </c>
      <c r="E359" t="s">
        <v>107</v>
      </c>
      <c r="F359" t="s">
        <v>950</v>
      </c>
      <c r="G359">
        <v>164</v>
      </c>
      <c r="H359" t="s">
        <v>951</v>
      </c>
      <c r="I359">
        <v>97</v>
      </c>
      <c r="J359" t="s">
        <v>952</v>
      </c>
      <c r="K359">
        <v>1942126</v>
      </c>
    </row>
    <row r="360" spans="4:11" x14ac:dyDescent="0.25">
      <c r="D360">
        <v>2</v>
      </c>
      <c r="E360" t="s">
        <v>16</v>
      </c>
      <c r="F360" t="s">
        <v>953</v>
      </c>
      <c r="G360">
        <v>20</v>
      </c>
      <c r="H360" t="s">
        <v>954</v>
      </c>
      <c r="I360">
        <v>29</v>
      </c>
      <c r="J360" t="s">
        <v>955</v>
      </c>
      <c r="K360">
        <v>1942753</v>
      </c>
    </row>
    <row r="361" spans="4:11" x14ac:dyDescent="0.25">
      <c r="D361">
        <v>2</v>
      </c>
      <c r="E361" t="s">
        <v>12</v>
      </c>
      <c r="F361" t="s">
        <v>956</v>
      </c>
      <c r="G361">
        <v>42</v>
      </c>
      <c r="H361" t="s">
        <v>957</v>
      </c>
      <c r="I361">
        <v>263</v>
      </c>
      <c r="J361" t="s">
        <v>956</v>
      </c>
      <c r="K361">
        <v>1945132</v>
      </c>
    </row>
    <row r="362" spans="4:11" x14ac:dyDescent="0.25">
      <c r="D362">
        <v>2</v>
      </c>
      <c r="E362" t="s">
        <v>12</v>
      </c>
      <c r="F362" t="s">
        <v>958</v>
      </c>
      <c r="G362">
        <v>42</v>
      </c>
      <c r="H362" t="s">
        <v>959</v>
      </c>
      <c r="I362">
        <v>248</v>
      </c>
      <c r="J362" t="s">
        <v>958</v>
      </c>
      <c r="K362">
        <v>1945200</v>
      </c>
    </row>
    <row r="363" spans="4:11" x14ac:dyDescent="0.25">
      <c r="D363">
        <v>2</v>
      </c>
      <c r="E363" t="s">
        <v>54</v>
      </c>
      <c r="F363" t="s">
        <v>960</v>
      </c>
      <c r="G363">
        <v>13</v>
      </c>
      <c r="H363" t="s">
        <v>961</v>
      </c>
      <c r="I363">
        <v>183</v>
      </c>
      <c r="J363" t="s">
        <v>962</v>
      </c>
      <c r="K363">
        <v>1945588</v>
      </c>
    </row>
    <row r="364" spans="4:11" x14ac:dyDescent="0.25">
      <c r="D364">
        <v>2</v>
      </c>
      <c r="E364" t="s">
        <v>20</v>
      </c>
      <c r="F364" t="s">
        <v>963</v>
      </c>
      <c r="G364">
        <v>13</v>
      </c>
      <c r="H364" t="s">
        <v>964</v>
      </c>
      <c r="I364">
        <v>205</v>
      </c>
      <c r="J364" t="s">
        <v>965</v>
      </c>
      <c r="K364">
        <v>1945982</v>
      </c>
    </row>
    <row r="365" spans="4:11" x14ac:dyDescent="0.25">
      <c r="D365">
        <v>2</v>
      </c>
      <c r="E365" t="s">
        <v>43</v>
      </c>
      <c r="F365" t="s">
        <v>966</v>
      </c>
      <c r="G365">
        <v>13</v>
      </c>
      <c r="H365" t="s">
        <v>967</v>
      </c>
      <c r="I365">
        <v>238</v>
      </c>
      <c r="J365" t="s">
        <v>968</v>
      </c>
      <c r="K365">
        <v>1946129</v>
      </c>
    </row>
    <row r="366" spans="4:11" x14ac:dyDescent="0.25">
      <c r="D366">
        <v>2</v>
      </c>
      <c r="E366" t="s">
        <v>12</v>
      </c>
      <c r="F366" t="s">
        <v>449</v>
      </c>
      <c r="G366">
        <v>13</v>
      </c>
      <c r="H366" t="s">
        <v>450</v>
      </c>
      <c r="I366">
        <v>242</v>
      </c>
      <c r="J366" t="s">
        <v>451</v>
      </c>
      <c r="K366">
        <v>1946150</v>
      </c>
    </row>
    <row r="367" spans="4:11" x14ac:dyDescent="0.25">
      <c r="D367">
        <v>2</v>
      </c>
      <c r="E367" t="s">
        <v>20</v>
      </c>
      <c r="F367" t="s">
        <v>449</v>
      </c>
      <c r="G367">
        <v>13</v>
      </c>
      <c r="H367" t="s">
        <v>450</v>
      </c>
      <c r="I367">
        <v>244</v>
      </c>
      <c r="J367" t="s">
        <v>451</v>
      </c>
      <c r="K367">
        <v>1946150</v>
      </c>
    </row>
    <row r="368" spans="4:11" x14ac:dyDescent="0.25">
      <c r="D368">
        <v>2</v>
      </c>
      <c r="E368" t="s">
        <v>183</v>
      </c>
      <c r="F368" t="s">
        <v>969</v>
      </c>
      <c r="G368">
        <v>13</v>
      </c>
      <c r="H368" t="s">
        <v>970</v>
      </c>
      <c r="I368">
        <v>260</v>
      </c>
      <c r="J368" t="s">
        <v>971</v>
      </c>
      <c r="K368">
        <v>1946172</v>
      </c>
    </row>
    <row r="369" spans="4:11" x14ac:dyDescent="0.25">
      <c r="D369">
        <v>2</v>
      </c>
      <c r="E369" t="s">
        <v>24</v>
      </c>
      <c r="F369" t="s">
        <v>972</v>
      </c>
      <c r="G369">
        <v>13</v>
      </c>
      <c r="H369" t="s">
        <v>973</v>
      </c>
      <c r="I369">
        <v>266</v>
      </c>
      <c r="J369" t="s">
        <v>974</v>
      </c>
      <c r="K369">
        <v>1946185</v>
      </c>
    </row>
    <row r="370" spans="4:11" x14ac:dyDescent="0.25">
      <c r="D370">
        <v>2</v>
      </c>
      <c r="E370" t="s">
        <v>24</v>
      </c>
      <c r="F370" t="s">
        <v>975</v>
      </c>
      <c r="G370">
        <v>13</v>
      </c>
      <c r="H370" t="s">
        <v>976</v>
      </c>
      <c r="I370">
        <v>258</v>
      </c>
      <c r="J370" t="s">
        <v>977</v>
      </c>
      <c r="K370">
        <v>1946200</v>
      </c>
    </row>
    <row r="371" spans="4:11" x14ac:dyDescent="0.25">
      <c r="D371">
        <v>2</v>
      </c>
      <c r="E371" t="s">
        <v>39</v>
      </c>
      <c r="F371" t="s">
        <v>978</v>
      </c>
      <c r="G371">
        <v>13</v>
      </c>
      <c r="H371" t="s">
        <v>979</v>
      </c>
      <c r="I371">
        <v>240</v>
      </c>
      <c r="J371" t="s">
        <v>980</v>
      </c>
      <c r="K371">
        <v>1946212</v>
      </c>
    </row>
    <row r="372" spans="4:11" x14ac:dyDescent="0.25">
      <c r="D372">
        <v>2</v>
      </c>
      <c r="E372" t="s">
        <v>50</v>
      </c>
      <c r="F372" t="s">
        <v>981</v>
      </c>
      <c r="G372">
        <v>15</v>
      </c>
      <c r="H372" t="s">
        <v>982</v>
      </c>
      <c r="I372">
        <v>280</v>
      </c>
      <c r="J372" t="s">
        <v>983</v>
      </c>
      <c r="K372">
        <v>1946883</v>
      </c>
    </row>
    <row r="373" spans="4:11" x14ac:dyDescent="0.25">
      <c r="D373">
        <v>2</v>
      </c>
      <c r="E373" t="s">
        <v>255</v>
      </c>
      <c r="F373" t="s">
        <v>984</v>
      </c>
      <c r="G373">
        <v>30</v>
      </c>
      <c r="H373" t="s">
        <v>985</v>
      </c>
      <c r="I373">
        <v>42</v>
      </c>
      <c r="J373" t="s">
        <v>986</v>
      </c>
      <c r="K373">
        <v>1951928</v>
      </c>
    </row>
    <row r="374" spans="4:11" x14ac:dyDescent="0.25">
      <c r="D374">
        <v>2</v>
      </c>
      <c r="E374" t="s">
        <v>35</v>
      </c>
      <c r="F374" t="s">
        <v>987</v>
      </c>
      <c r="G374">
        <v>30</v>
      </c>
      <c r="H374" t="s">
        <v>988</v>
      </c>
      <c r="I374">
        <v>105</v>
      </c>
      <c r="J374" t="s">
        <v>989</v>
      </c>
      <c r="K374">
        <v>1952595</v>
      </c>
    </row>
    <row r="375" spans="4:11" x14ac:dyDescent="0.25">
      <c r="D375">
        <v>2</v>
      </c>
      <c r="E375" t="s">
        <v>255</v>
      </c>
      <c r="F375" t="s">
        <v>458</v>
      </c>
      <c r="G375">
        <v>30</v>
      </c>
      <c r="H375" t="s">
        <v>459</v>
      </c>
      <c r="I375">
        <v>15</v>
      </c>
      <c r="J375" t="s">
        <v>460</v>
      </c>
      <c r="K375">
        <v>1953634</v>
      </c>
    </row>
    <row r="376" spans="4:11" x14ac:dyDescent="0.25">
      <c r="D376">
        <v>2</v>
      </c>
      <c r="E376" t="s">
        <v>20</v>
      </c>
      <c r="F376" t="s">
        <v>458</v>
      </c>
      <c r="G376">
        <v>30</v>
      </c>
      <c r="H376" t="s">
        <v>459</v>
      </c>
      <c r="I376">
        <v>16</v>
      </c>
      <c r="J376" t="s">
        <v>460</v>
      </c>
      <c r="K376">
        <v>1953634</v>
      </c>
    </row>
    <row r="377" spans="4:11" x14ac:dyDescent="0.25">
      <c r="D377">
        <v>2</v>
      </c>
      <c r="E377" t="s">
        <v>107</v>
      </c>
      <c r="F377" t="s">
        <v>990</v>
      </c>
      <c r="G377">
        <v>30</v>
      </c>
      <c r="H377" t="s">
        <v>991</v>
      </c>
      <c r="I377">
        <v>176</v>
      </c>
      <c r="J377" t="s">
        <v>992</v>
      </c>
      <c r="K377">
        <v>1953840</v>
      </c>
    </row>
    <row r="378" spans="4:11" x14ac:dyDescent="0.25">
      <c r="D378">
        <v>2</v>
      </c>
      <c r="E378" t="s">
        <v>255</v>
      </c>
      <c r="F378" t="s">
        <v>993</v>
      </c>
      <c r="G378">
        <v>84</v>
      </c>
      <c r="H378" t="s">
        <v>994</v>
      </c>
      <c r="I378">
        <v>264</v>
      </c>
      <c r="J378" t="s">
        <v>995</v>
      </c>
      <c r="K378">
        <v>1954557</v>
      </c>
    </row>
    <row r="379" spans="4:11" x14ac:dyDescent="0.25">
      <c r="D379">
        <v>2</v>
      </c>
      <c r="E379" t="s">
        <v>43</v>
      </c>
      <c r="F379" t="s">
        <v>996</v>
      </c>
      <c r="G379">
        <v>30</v>
      </c>
      <c r="H379" t="s">
        <v>997</v>
      </c>
      <c r="I379">
        <v>239</v>
      </c>
      <c r="J379" t="s">
        <v>998</v>
      </c>
      <c r="K379">
        <v>1955783</v>
      </c>
    </row>
    <row r="380" spans="4:11" x14ac:dyDescent="0.25">
      <c r="D380">
        <v>2</v>
      </c>
      <c r="E380" t="s">
        <v>35</v>
      </c>
      <c r="F380" t="s">
        <v>999</v>
      </c>
      <c r="G380">
        <v>186</v>
      </c>
      <c r="H380" t="s">
        <v>1000</v>
      </c>
      <c r="I380">
        <v>286</v>
      </c>
      <c r="J380" t="s">
        <v>1001</v>
      </c>
      <c r="K380">
        <v>1956372</v>
      </c>
    </row>
    <row r="381" spans="4:11" x14ac:dyDescent="0.25">
      <c r="D381">
        <v>2</v>
      </c>
      <c r="E381" t="s">
        <v>107</v>
      </c>
      <c r="F381" t="s">
        <v>1002</v>
      </c>
      <c r="G381">
        <v>77</v>
      </c>
      <c r="H381" t="s">
        <v>1003</v>
      </c>
      <c r="I381">
        <v>265</v>
      </c>
      <c r="J381" t="s">
        <v>1004</v>
      </c>
      <c r="K381">
        <v>1956469</v>
      </c>
    </row>
    <row r="382" spans="4:11" x14ac:dyDescent="0.25">
      <c r="D382">
        <v>2</v>
      </c>
      <c r="E382" t="s">
        <v>50</v>
      </c>
      <c r="F382" t="s">
        <v>1005</v>
      </c>
      <c r="G382">
        <v>109</v>
      </c>
      <c r="H382" t="s">
        <v>1006</v>
      </c>
      <c r="I382">
        <v>314</v>
      </c>
      <c r="J382" t="s">
        <v>1007</v>
      </c>
      <c r="K382">
        <v>1958652</v>
      </c>
    </row>
    <row r="383" spans="4:11" x14ac:dyDescent="0.25">
      <c r="D383">
        <v>2</v>
      </c>
      <c r="E383" t="s">
        <v>54</v>
      </c>
      <c r="F383" t="s">
        <v>1008</v>
      </c>
      <c r="G383">
        <v>61</v>
      </c>
      <c r="H383" t="s">
        <v>1009</v>
      </c>
      <c r="I383">
        <v>319</v>
      </c>
      <c r="J383" t="s">
        <v>1010</v>
      </c>
      <c r="K383">
        <v>1960228</v>
      </c>
    </row>
    <row r="384" spans="4:11" x14ac:dyDescent="0.25">
      <c r="D384">
        <v>2</v>
      </c>
      <c r="E384" t="s">
        <v>255</v>
      </c>
      <c r="F384" t="s">
        <v>476</v>
      </c>
      <c r="G384">
        <v>172</v>
      </c>
      <c r="H384" t="s">
        <v>477</v>
      </c>
      <c r="I384">
        <v>249</v>
      </c>
      <c r="J384" t="s">
        <v>478</v>
      </c>
      <c r="K384">
        <v>1962589</v>
      </c>
    </row>
    <row r="385" spans="4:11" x14ac:dyDescent="0.25">
      <c r="D385">
        <v>2</v>
      </c>
      <c r="E385" t="s">
        <v>16</v>
      </c>
      <c r="F385" t="s">
        <v>1011</v>
      </c>
      <c r="G385">
        <v>110</v>
      </c>
      <c r="H385" t="s">
        <v>1012</v>
      </c>
      <c r="I385">
        <v>27</v>
      </c>
      <c r="J385" t="s">
        <v>1013</v>
      </c>
      <c r="K385">
        <v>1963077</v>
      </c>
    </row>
    <row r="386" spans="4:11" x14ac:dyDescent="0.25">
      <c r="D386">
        <v>2</v>
      </c>
      <c r="E386" t="s">
        <v>107</v>
      </c>
      <c r="F386" t="s">
        <v>1014</v>
      </c>
      <c r="G386">
        <v>108</v>
      </c>
      <c r="H386" t="s">
        <v>1015</v>
      </c>
      <c r="I386">
        <v>270</v>
      </c>
      <c r="J386" t="s">
        <v>1014</v>
      </c>
      <c r="K386">
        <v>1963635</v>
      </c>
    </row>
    <row r="387" spans="4:11" x14ac:dyDescent="0.25">
      <c r="D387">
        <v>2</v>
      </c>
      <c r="E387" t="s">
        <v>16</v>
      </c>
      <c r="F387" t="s">
        <v>1016</v>
      </c>
      <c r="G387">
        <v>157</v>
      </c>
      <c r="H387" t="s">
        <v>1017</v>
      </c>
      <c r="I387">
        <v>93</v>
      </c>
      <c r="J387" t="s">
        <v>1018</v>
      </c>
      <c r="K387">
        <v>1965679</v>
      </c>
    </row>
    <row r="388" spans="4:11" x14ac:dyDescent="0.25">
      <c r="D388">
        <v>2</v>
      </c>
      <c r="E388" t="s">
        <v>54</v>
      </c>
      <c r="F388" t="s">
        <v>1019</v>
      </c>
      <c r="G388">
        <v>37</v>
      </c>
      <c r="H388" t="s">
        <v>1020</v>
      </c>
      <c r="I388">
        <v>303</v>
      </c>
      <c r="J388" t="s">
        <v>1021</v>
      </c>
      <c r="K388">
        <v>1965815</v>
      </c>
    </row>
    <row r="389" spans="4:11" x14ac:dyDescent="0.25">
      <c r="D389">
        <v>2</v>
      </c>
      <c r="E389" t="s">
        <v>20</v>
      </c>
      <c r="F389" t="s">
        <v>1022</v>
      </c>
      <c r="G389">
        <v>37</v>
      </c>
      <c r="H389" t="s">
        <v>1023</v>
      </c>
      <c r="I389">
        <v>267</v>
      </c>
      <c r="J389" t="s">
        <v>1024</v>
      </c>
      <c r="K389">
        <v>1967069</v>
      </c>
    </row>
    <row r="390" spans="4:11" x14ac:dyDescent="0.25">
      <c r="D390">
        <v>2</v>
      </c>
      <c r="E390" t="s">
        <v>39</v>
      </c>
      <c r="F390" t="s">
        <v>1025</v>
      </c>
      <c r="G390">
        <v>147</v>
      </c>
      <c r="H390" t="s">
        <v>1026</v>
      </c>
      <c r="I390">
        <v>119</v>
      </c>
      <c r="J390" t="s">
        <v>1027</v>
      </c>
      <c r="K390">
        <v>1969165</v>
      </c>
    </row>
    <row r="391" spans="4:11" x14ac:dyDescent="0.25">
      <c r="D391">
        <v>2</v>
      </c>
      <c r="E391" t="s">
        <v>155</v>
      </c>
      <c r="F391" t="s">
        <v>1028</v>
      </c>
      <c r="G391">
        <v>147</v>
      </c>
      <c r="H391" t="s">
        <v>1029</v>
      </c>
      <c r="I391">
        <v>114</v>
      </c>
      <c r="J391" t="s">
        <v>1030</v>
      </c>
      <c r="K391">
        <v>1969181</v>
      </c>
    </row>
    <row r="392" spans="4:11" x14ac:dyDescent="0.25">
      <c r="D392">
        <v>2</v>
      </c>
      <c r="E392" t="s">
        <v>64</v>
      </c>
      <c r="F392" t="s">
        <v>1031</v>
      </c>
      <c r="G392">
        <v>211</v>
      </c>
      <c r="H392" t="s">
        <v>1032</v>
      </c>
      <c r="I392">
        <v>53</v>
      </c>
      <c r="J392" t="s">
        <v>1033</v>
      </c>
      <c r="K392">
        <v>1971686</v>
      </c>
    </row>
    <row r="393" spans="4:11" x14ac:dyDescent="0.25">
      <c r="D393">
        <v>2</v>
      </c>
      <c r="E393" t="s">
        <v>35</v>
      </c>
      <c r="F393" t="s">
        <v>1034</v>
      </c>
      <c r="G393">
        <v>15</v>
      </c>
      <c r="H393" t="s">
        <v>1035</v>
      </c>
      <c r="I393">
        <v>86</v>
      </c>
      <c r="J393" t="s">
        <v>1036</v>
      </c>
      <c r="K393">
        <v>1972343</v>
      </c>
    </row>
    <row r="394" spans="4:11" x14ac:dyDescent="0.25">
      <c r="D394">
        <v>2</v>
      </c>
      <c r="E394" t="s">
        <v>16</v>
      </c>
      <c r="F394" t="s">
        <v>1037</v>
      </c>
      <c r="G394">
        <v>37</v>
      </c>
      <c r="H394" t="s">
        <v>1038</v>
      </c>
      <c r="I394">
        <v>25</v>
      </c>
      <c r="J394" t="s">
        <v>1039</v>
      </c>
      <c r="K394">
        <v>1974048</v>
      </c>
    </row>
    <row r="395" spans="4:11" x14ac:dyDescent="0.25">
      <c r="D395">
        <v>2</v>
      </c>
      <c r="E395" t="s">
        <v>24</v>
      </c>
      <c r="F395" t="s">
        <v>1040</v>
      </c>
      <c r="G395">
        <v>191</v>
      </c>
      <c r="H395" t="s">
        <v>1041</v>
      </c>
      <c r="I395">
        <v>295</v>
      </c>
      <c r="J395" t="s">
        <v>1042</v>
      </c>
      <c r="K395">
        <v>1976489</v>
      </c>
    </row>
    <row r="396" spans="4:11" x14ac:dyDescent="0.25">
      <c r="D396">
        <v>2</v>
      </c>
      <c r="E396" t="s">
        <v>64</v>
      </c>
      <c r="F396" t="s">
        <v>1043</v>
      </c>
      <c r="G396">
        <v>191</v>
      </c>
      <c r="H396" t="s">
        <v>1044</v>
      </c>
      <c r="I396">
        <v>147</v>
      </c>
      <c r="J396" t="s">
        <v>1045</v>
      </c>
      <c r="K396">
        <v>1976553</v>
      </c>
    </row>
    <row r="397" spans="4:11" x14ac:dyDescent="0.25">
      <c r="D397">
        <v>2</v>
      </c>
      <c r="E397" t="s">
        <v>39</v>
      </c>
      <c r="F397" t="s">
        <v>1046</v>
      </c>
      <c r="G397">
        <v>77</v>
      </c>
      <c r="H397" t="s">
        <v>1047</v>
      </c>
      <c r="I397">
        <v>226</v>
      </c>
      <c r="J397" t="s">
        <v>1048</v>
      </c>
      <c r="K397">
        <v>1977402</v>
      </c>
    </row>
    <row r="398" spans="4:11" x14ac:dyDescent="0.25">
      <c r="D398">
        <v>2</v>
      </c>
      <c r="E398" t="s">
        <v>35</v>
      </c>
      <c r="F398" t="s">
        <v>1049</v>
      </c>
      <c r="G398">
        <v>77</v>
      </c>
      <c r="H398" t="s">
        <v>1050</v>
      </c>
      <c r="I398">
        <v>64</v>
      </c>
      <c r="J398" t="s">
        <v>1049</v>
      </c>
      <c r="K398">
        <v>1977926</v>
      </c>
    </row>
    <row r="399" spans="4:11" x14ac:dyDescent="0.25">
      <c r="D399">
        <v>2</v>
      </c>
      <c r="E399" t="s">
        <v>39</v>
      </c>
      <c r="F399" t="s">
        <v>1051</v>
      </c>
      <c r="G399">
        <v>106</v>
      </c>
      <c r="H399" t="s">
        <v>1052</v>
      </c>
      <c r="I399">
        <v>22</v>
      </c>
      <c r="J399" t="s">
        <v>1053</v>
      </c>
      <c r="K399">
        <v>1980161</v>
      </c>
    </row>
    <row r="400" spans="4:11" x14ac:dyDescent="0.25">
      <c r="D400">
        <v>2</v>
      </c>
      <c r="E400" t="s">
        <v>35</v>
      </c>
      <c r="F400" t="s">
        <v>1054</v>
      </c>
      <c r="G400">
        <v>182</v>
      </c>
      <c r="H400" t="s">
        <v>1055</v>
      </c>
      <c r="I400">
        <v>206</v>
      </c>
      <c r="J400" t="s">
        <v>1056</v>
      </c>
      <c r="K400">
        <v>1981549</v>
      </c>
    </row>
    <row r="401" spans="4:11" x14ac:dyDescent="0.25">
      <c r="D401">
        <v>3</v>
      </c>
      <c r="E401" t="s">
        <v>50</v>
      </c>
      <c r="F401" t="s">
        <v>1057</v>
      </c>
      <c r="G401">
        <v>10</v>
      </c>
      <c r="H401" t="s">
        <v>1058</v>
      </c>
      <c r="I401">
        <v>314</v>
      </c>
      <c r="J401" t="s">
        <v>1059</v>
      </c>
      <c r="K401">
        <v>1532873</v>
      </c>
    </row>
    <row r="402" spans="4:11" x14ac:dyDescent="0.25">
      <c r="D402">
        <v>3</v>
      </c>
      <c r="E402" t="s">
        <v>31</v>
      </c>
      <c r="F402" t="s">
        <v>1060</v>
      </c>
      <c r="G402">
        <v>48</v>
      </c>
      <c r="H402" t="s">
        <v>1061</v>
      </c>
      <c r="I402">
        <v>323</v>
      </c>
      <c r="J402" t="s">
        <v>1062</v>
      </c>
      <c r="K402">
        <v>1535513</v>
      </c>
    </row>
    <row r="403" spans="4:11" x14ac:dyDescent="0.25">
      <c r="D403">
        <v>3</v>
      </c>
      <c r="E403" t="s">
        <v>107</v>
      </c>
      <c r="F403" t="s">
        <v>1063</v>
      </c>
      <c r="G403">
        <v>104</v>
      </c>
      <c r="H403" t="s">
        <v>1064</v>
      </c>
      <c r="I403">
        <v>217</v>
      </c>
      <c r="J403" t="s">
        <v>1065</v>
      </c>
      <c r="K403">
        <v>1551387</v>
      </c>
    </row>
    <row r="404" spans="4:11" x14ac:dyDescent="0.25">
      <c r="D404">
        <v>3</v>
      </c>
      <c r="E404" t="s">
        <v>39</v>
      </c>
      <c r="F404" t="s">
        <v>9</v>
      </c>
      <c r="G404">
        <v>99</v>
      </c>
      <c r="H404" t="s">
        <v>10</v>
      </c>
      <c r="I404">
        <v>262</v>
      </c>
      <c r="J404" t="s">
        <v>11</v>
      </c>
      <c r="K404">
        <v>1539969</v>
      </c>
    </row>
    <row r="405" spans="4:11" x14ac:dyDescent="0.25">
      <c r="D405">
        <v>3</v>
      </c>
      <c r="E405" t="s">
        <v>54</v>
      </c>
      <c r="F405" t="s">
        <v>1066</v>
      </c>
      <c r="G405">
        <v>133</v>
      </c>
      <c r="H405" t="s">
        <v>1067</v>
      </c>
      <c r="I405">
        <v>138</v>
      </c>
      <c r="J405" t="s">
        <v>1068</v>
      </c>
      <c r="K405">
        <v>1535349</v>
      </c>
    </row>
    <row r="406" spans="4:11" x14ac:dyDescent="0.25">
      <c r="D406">
        <v>3</v>
      </c>
      <c r="E406" t="s">
        <v>24</v>
      </c>
      <c r="F406" t="s">
        <v>13</v>
      </c>
      <c r="G406">
        <v>171</v>
      </c>
      <c r="H406" t="s">
        <v>14</v>
      </c>
      <c r="I406">
        <v>258</v>
      </c>
      <c r="J406" t="s">
        <v>15</v>
      </c>
      <c r="K406">
        <v>1543549</v>
      </c>
    </row>
    <row r="407" spans="4:11" x14ac:dyDescent="0.25">
      <c r="D407">
        <v>3</v>
      </c>
      <c r="E407" t="s">
        <v>50</v>
      </c>
      <c r="F407" t="s">
        <v>1069</v>
      </c>
      <c r="G407">
        <v>98</v>
      </c>
      <c r="H407" t="s">
        <v>1070</v>
      </c>
      <c r="I407">
        <v>284</v>
      </c>
      <c r="J407" t="s">
        <v>1071</v>
      </c>
      <c r="K407">
        <v>1536064</v>
      </c>
    </row>
    <row r="408" spans="4:11" x14ac:dyDescent="0.25">
      <c r="D408">
        <v>3</v>
      </c>
      <c r="E408" t="s">
        <v>107</v>
      </c>
      <c r="F408" t="s">
        <v>1072</v>
      </c>
      <c r="G408">
        <v>95</v>
      </c>
      <c r="H408" t="s">
        <v>1073</v>
      </c>
      <c r="I408">
        <v>223</v>
      </c>
      <c r="J408" t="s">
        <v>1074</v>
      </c>
      <c r="K408">
        <v>1538159</v>
      </c>
    </row>
    <row r="409" spans="4:11" x14ac:dyDescent="0.25">
      <c r="D409">
        <v>3</v>
      </c>
      <c r="E409" t="s">
        <v>35</v>
      </c>
      <c r="F409" t="s">
        <v>1075</v>
      </c>
      <c r="G409">
        <v>179</v>
      </c>
      <c r="H409" t="s">
        <v>1076</v>
      </c>
      <c r="I409">
        <v>206</v>
      </c>
      <c r="J409" t="s">
        <v>1077</v>
      </c>
      <c r="K409">
        <v>1535852</v>
      </c>
    </row>
    <row r="410" spans="4:11" x14ac:dyDescent="0.25">
      <c r="D410">
        <v>3</v>
      </c>
      <c r="E410" t="s">
        <v>16</v>
      </c>
      <c r="F410" t="s">
        <v>1078</v>
      </c>
      <c r="G410">
        <v>167</v>
      </c>
      <c r="H410" t="s">
        <v>1079</v>
      </c>
      <c r="I410">
        <v>54</v>
      </c>
      <c r="J410" t="s">
        <v>1080</v>
      </c>
      <c r="K410">
        <v>1537183</v>
      </c>
    </row>
    <row r="411" spans="4:11" x14ac:dyDescent="0.25">
      <c r="D411">
        <v>3</v>
      </c>
      <c r="E411" t="s">
        <v>8</v>
      </c>
      <c r="F411" t="s">
        <v>1081</v>
      </c>
      <c r="G411">
        <v>114</v>
      </c>
      <c r="H411" t="s">
        <v>1082</v>
      </c>
      <c r="I411">
        <v>171</v>
      </c>
      <c r="J411" t="s">
        <v>1083</v>
      </c>
      <c r="K411">
        <v>1550167</v>
      </c>
    </row>
    <row r="412" spans="4:11" x14ac:dyDescent="0.25">
      <c r="D412">
        <v>3</v>
      </c>
      <c r="E412" t="s">
        <v>255</v>
      </c>
      <c r="F412" t="s">
        <v>1084</v>
      </c>
      <c r="G412">
        <v>95</v>
      </c>
      <c r="H412" t="s">
        <v>1085</v>
      </c>
      <c r="I412">
        <v>216</v>
      </c>
      <c r="J412" t="s">
        <v>1086</v>
      </c>
      <c r="K412">
        <v>1538084</v>
      </c>
    </row>
    <row r="413" spans="4:11" x14ac:dyDescent="0.25">
      <c r="D413">
        <v>3</v>
      </c>
      <c r="E413" t="s">
        <v>24</v>
      </c>
      <c r="F413" t="s">
        <v>1087</v>
      </c>
      <c r="G413">
        <v>72</v>
      </c>
      <c r="H413" t="s">
        <v>1088</v>
      </c>
      <c r="I413">
        <v>296</v>
      </c>
      <c r="J413" t="s">
        <v>1089</v>
      </c>
      <c r="K413">
        <v>1543967</v>
      </c>
    </row>
    <row r="414" spans="4:11" x14ac:dyDescent="0.25">
      <c r="D414">
        <v>3</v>
      </c>
      <c r="E414" t="s">
        <v>20</v>
      </c>
      <c r="F414" t="s">
        <v>1090</v>
      </c>
      <c r="G414">
        <v>72</v>
      </c>
      <c r="H414" t="s">
        <v>1091</v>
      </c>
      <c r="I414">
        <v>2</v>
      </c>
      <c r="J414" t="s">
        <v>1092</v>
      </c>
      <c r="K414">
        <v>1541265</v>
      </c>
    </row>
    <row r="415" spans="4:11" x14ac:dyDescent="0.25">
      <c r="D415">
        <v>3</v>
      </c>
      <c r="E415" t="s">
        <v>16</v>
      </c>
      <c r="F415" t="s">
        <v>1093</v>
      </c>
      <c r="G415">
        <v>31</v>
      </c>
      <c r="H415" t="s">
        <v>1094</v>
      </c>
      <c r="I415">
        <v>311</v>
      </c>
      <c r="J415" t="s">
        <v>1095</v>
      </c>
      <c r="K415">
        <v>1540334</v>
      </c>
    </row>
    <row r="416" spans="4:11" x14ac:dyDescent="0.25">
      <c r="D416">
        <v>3</v>
      </c>
      <c r="E416" t="s">
        <v>39</v>
      </c>
      <c r="F416" t="s">
        <v>1096</v>
      </c>
      <c r="G416">
        <v>80</v>
      </c>
      <c r="H416" t="s">
        <v>1097</v>
      </c>
      <c r="I416">
        <v>83</v>
      </c>
      <c r="J416" t="s">
        <v>1098</v>
      </c>
      <c r="K416">
        <v>1550184</v>
      </c>
    </row>
    <row r="417" spans="4:11" x14ac:dyDescent="0.25">
      <c r="D417">
        <v>3</v>
      </c>
      <c r="E417" t="s">
        <v>43</v>
      </c>
      <c r="F417" t="s">
        <v>1099</v>
      </c>
      <c r="G417">
        <v>171</v>
      </c>
      <c r="H417" t="s">
        <v>1100</v>
      </c>
      <c r="I417">
        <v>19</v>
      </c>
      <c r="J417" t="s">
        <v>1101</v>
      </c>
      <c r="K417">
        <v>1550170</v>
      </c>
    </row>
    <row r="418" spans="4:11" x14ac:dyDescent="0.25">
      <c r="D418">
        <v>3</v>
      </c>
      <c r="E418" t="s">
        <v>31</v>
      </c>
      <c r="F418" t="s">
        <v>1102</v>
      </c>
      <c r="G418">
        <v>98</v>
      </c>
      <c r="H418" t="s">
        <v>1103</v>
      </c>
      <c r="I418">
        <v>328</v>
      </c>
      <c r="J418" t="s">
        <v>1104</v>
      </c>
      <c r="K418">
        <v>1543095</v>
      </c>
    </row>
    <row r="419" spans="4:11" x14ac:dyDescent="0.25">
      <c r="D419">
        <v>3</v>
      </c>
      <c r="E419" t="s">
        <v>64</v>
      </c>
      <c r="F419" t="s">
        <v>1105</v>
      </c>
      <c r="G419">
        <v>77</v>
      </c>
      <c r="H419" t="s">
        <v>1106</v>
      </c>
      <c r="I419">
        <v>232</v>
      </c>
      <c r="J419" t="s">
        <v>1107</v>
      </c>
      <c r="K419">
        <v>1544123</v>
      </c>
    </row>
    <row r="420" spans="4:11" x14ac:dyDescent="0.25">
      <c r="D420">
        <v>3</v>
      </c>
      <c r="E420" t="s">
        <v>64</v>
      </c>
      <c r="F420" t="s">
        <v>1108</v>
      </c>
      <c r="G420">
        <v>98</v>
      </c>
      <c r="H420" t="s">
        <v>1109</v>
      </c>
      <c r="I420">
        <v>317</v>
      </c>
      <c r="J420" t="s">
        <v>1110</v>
      </c>
      <c r="K420">
        <v>1544882</v>
      </c>
    </row>
    <row r="421" spans="4:11" x14ac:dyDescent="0.25">
      <c r="D421">
        <v>3</v>
      </c>
      <c r="E421" t="s">
        <v>31</v>
      </c>
      <c r="F421" t="s">
        <v>1111</v>
      </c>
      <c r="G421">
        <v>77</v>
      </c>
      <c r="H421" t="s">
        <v>1112</v>
      </c>
      <c r="I421">
        <v>306</v>
      </c>
      <c r="J421" t="s">
        <v>1113</v>
      </c>
      <c r="K421">
        <v>1544179</v>
      </c>
    </row>
    <row r="422" spans="4:11" x14ac:dyDescent="0.25">
      <c r="D422">
        <v>3</v>
      </c>
      <c r="E422" t="s">
        <v>54</v>
      </c>
      <c r="F422" t="s">
        <v>1114</v>
      </c>
      <c r="G422">
        <v>212</v>
      </c>
      <c r="H422" t="s">
        <v>1115</v>
      </c>
      <c r="I422">
        <v>315</v>
      </c>
      <c r="J422" t="s">
        <v>1116</v>
      </c>
      <c r="K422">
        <v>1550116</v>
      </c>
    </row>
    <row r="423" spans="4:11" x14ac:dyDescent="0.25">
      <c r="D423">
        <v>3</v>
      </c>
      <c r="E423" t="s">
        <v>35</v>
      </c>
      <c r="F423" t="s">
        <v>1117</v>
      </c>
      <c r="G423">
        <v>131</v>
      </c>
      <c r="H423" t="s">
        <v>1118</v>
      </c>
      <c r="I423">
        <v>105</v>
      </c>
      <c r="J423" t="s">
        <v>1119</v>
      </c>
      <c r="K423">
        <v>1550295</v>
      </c>
    </row>
    <row r="424" spans="4:11" x14ac:dyDescent="0.25">
      <c r="D424">
        <v>3</v>
      </c>
      <c r="E424" t="s">
        <v>16</v>
      </c>
      <c r="F424" t="s">
        <v>1120</v>
      </c>
      <c r="G424">
        <v>44</v>
      </c>
      <c r="H424" t="s">
        <v>1121</v>
      </c>
      <c r="I424">
        <v>283</v>
      </c>
      <c r="J424" t="s">
        <v>1122</v>
      </c>
      <c r="K424">
        <v>1548401</v>
      </c>
    </row>
    <row r="425" spans="4:11" x14ac:dyDescent="0.25">
      <c r="D425">
        <v>3</v>
      </c>
      <c r="E425" t="s">
        <v>35</v>
      </c>
      <c r="F425" t="s">
        <v>1123</v>
      </c>
      <c r="G425">
        <v>104</v>
      </c>
      <c r="H425" t="s">
        <v>1124</v>
      </c>
      <c r="I425">
        <v>36</v>
      </c>
      <c r="J425" t="s">
        <v>1125</v>
      </c>
      <c r="K425">
        <v>1552375</v>
      </c>
    </row>
    <row r="426" spans="4:11" x14ac:dyDescent="0.25">
      <c r="D426">
        <v>3</v>
      </c>
      <c r="E426" t="s">
        <v>64</v>
      </c>
      <c r="F426" t="s">
        <v>1126</v>
      </c>
      <c r="G426">
        <v>104</v>
      </c>
      <c r="H426" t="s">
        <v>1127</v>
      </c>
      <c r="I426">
        <v>35</v>
      </c>
      <c r="J426" t="s">
        <v>1128</v>
      </c>
      <c r="K426">
        <v>1552378</v>
      </c>
    </row>
    <row r="427" spans="4:11" x14ac:dyDescent="0.25">
      <c r="D427">
        <v>3</v>
      </c>
      <c r="E427" t="s">
        <v>16</v>
      </c>
      <c r="F427" t="s">
        <v>1129</v>
      </c>
      <c r="G427">
        <v>104</v>
      </c>
      <c r="H427" t="s">
        <v>1130</v>
      </c>
      <c r="I427">
        <v>186</v>
      </c>
      <c r="J427" t="s">
        <v>1131</v>
      </c>
      <c r="K427">
        <v>1553031</v>
      </c>
    </row>
    <row r="428" spans="4:11" x14ac:dyDescent="0.25">
      <c r="D428">
        <v>3</v>
      </c>
      <c r="E428" t="s">
        <v>54</v>
      </c>
      <c r="F428" t="s">
        <v>1132</v>
      </c>
      <c r="G428">
        <v>33</v>
      </c>
      <c r="H428" t="s">
        <v>1133</v>
      </c>
      <c r="I428">
        <v>82</v>
      </c>
      <c r="J428" t="s">
        <v>1134</v>
      </c>
      <c r="K428">
        <v>1555185</v>
      </c>
    </row>
    <row r="429" spans="4:11" x14ac:dyDescent="0.25">
      <c r="D429">
        <v>3</v>
      </c>
      <c r="E429" t="s">
        <v>39</v>
      </c>
      <c r="F429" t="s">
        <v>1135</v>
      </c>
      <c r="G429">
        <v>54</v>
      </c>
      <c r="H429" t="s">
        <v>1136</v>
      </c>
      <c r="I429">
        <v>85</v>
      </c>
      <c r="J429" t="s">
        <v>1137</v>
      </c>
      <c r="K429">
        <v>1555548</v>
      </c>
    </row>
    <row r="430" spans="4:11" x14ac:dyDescent="0.25">
      <c r="D430">
        <v>3</v>
      </c>
      <c r="E430" t="s">
        <v>31</v>
      </c>
      <c r="F430" t="s">
        <v>1138</v>
      </c>
      <c r="G430">
        <v>4</v>
      </c>
      <c r="H430" t="s">
        <v>1139</v>
      </c>
      <c r="I430">
        <v>325</v>
      </c>
      <c r="J430" t="s">
        <v>1140</v>
      </c>
      <c r="K430">
        <v>1559387</v>
      </c>
    </row>
    <row r="431" spans="4:11" x14ac:dyDescent="0.25">
      <c r="D431">
        <v>3</v>
      </c>
      <c r="E431" t="s">
        <v>16</v>
      </c>
      <c r="F431" t="s">
        <v>1141</v>
      </c>
      <c r="G431">
        <v>14</v>
      </c>
      <c r="H431" t="s">
        <v>1142</v>
      </c>
      <c r="I431">
        <v>234</v>
      </c>
      <c r="J431" t="s">
        <v>1143</v>
      </c>
      <c r="K431">
        <v>1560673</v>
      </c>
    </row>
    <row r="432" spans="4:11" x14ac:dyDescent="0.25">
      <c r="D432">
        <v>3</v>
      </c>
      <c r="E432" t="s">
        <v>35</v>
      </c>
      <c r="F432" t="s">
        <v>1144</v>
      </c>
      <c r="G432">
        <v>14</v>
      </c>
      <c r="H432" t="s">
        <v>1145</v>
      </c>
      <c r="I432">
        <v>236</v>
      </c>
      <c r="J432" t="s">
        <v>1146</v>
      </c>
      <c r="K432">
        <v>1560677</v>
      </c>
    </row>
    <row r="433" spans="4:11" x14ac:dyDescent="0.25">
      <c r="D433">
        <v>3</v>
      </c>
      <c r="E433" t="s">
        <v>43</v>
      </c>
      <c r="F433" t="s">
        <v>1147</v>
      </c>
      <c r="G433">
        <v>104</v>
      </c>
      <c r="H433" t="s">
        <v>1148</v>
      </c>
      <c r="I433">
        <v>18</v>
      </c>
      <c r="J433" t="s">
        <v>1149</v>
      </c>
      <c r="K433">
        <v>1560762</v>
      </c>
    </row>
    <row r="434" spans="4:11" x14ac:dyDescent="0.25">
      <c r="D434">
        <v>3</v>
      </c>
      <c r="E434" t="s">
        <v>107</v>
      </c>
      <c r="F434" t="s">
        <v>1150</v>
      </c>
      <c r="G434">
        <v>131</v>
      </c>
      <c r="H434" t="s">
        <v>1151</v>
      </c>
      <c r="I434">
        <v>176</v>
      </c>
      <c r="J434" t="s">
        <v>1152</v>
      </c>
      <c r="K434">
        <v>1561138</v>
      </c>
    </row>
    <row r="435" spans="4:11" x14ac:dyDescent="0.25">
      <c r="D435">
        <v>3</v>
      </c>
      <c r="E435" t="s">
        <v>35</v>
      </c>
      <c r="F435" t="s">
        <v>1153</v>
      </c>
      <c r="G435">
        <v>216</v>
      </c>
      <c r="H435" t="s">
        <v>1154</v>
      </c>
      <c r="I435">
        <v>324</v>
      </c>
      <c r="J435" t="s">
        <v>1155</v>
      </c>
      <c r="K435">
        <v>1562157</v>
      </c>
    </row>
    <row r="436" spans="4:11" x14ac:dyDescent="0.25">
      <c r="D436">
        <v>3</v>
      </c>
      <c r="E436" t="s">
        <v>20</v>
      </c>
      <c r="F436" t="s">
        <v>1156</v>
      </c>
      <c r="G436">
        <v>104</v>
      </c>
      <c r="H436" t="s">
        <v>1157</v>
      </c>
      <c r="I436">
        <v>288</v>
      </c>
      <c r="J436" t="s">
        <v>1158</v>
      </c>
      <c r="K436">
        <v>1562400</v>
      </c>
    </row>
    <row r="437" spans="4:11" x14ac:dyDescent="0.25">
      <c r="D437">
        <v>3</v>
      </c>
      <c r="E437" t="s">
        <v>107</v>
      </c>
      <c r="F437" t="s">
        <v>1159</v>
      </c>
      <c r="G437">
        <v>62</v>
      </c>
      <c r="H437" t="s">
        <v>1160</v>
      </c>
      <c r="I437">
        <v>151</v>
      </c>
      <c r="J437" t="s">
        <v>1161</v>
      </c>
      <c r="K437">
        <v>1562788</v>
      </c>
    </row>
    <row r="438" spans="4:11" x14ac:dyDescent="0.25">
      <c r="D438">
        <v>3</v>
      </c>
      <c r="E438" t="s">
        <v>50</v>
      </c>
      <c r="F438" t="s">
        <v>1162</v>
      </c>
      <c r="G438">
        <v>164</v>
      </c>
      <c r="H438" t="s">
        <v>1163</v>
      </c>
      <c r="I438">
        <v>235</v>
      </c>
      <c r="J438" t="s">
        <v>1164</v>
      </c>
      <c r="K438">
        <v>1563321</v>
      </c>
    </row>
    <row r="439" spans="4:11" x14ac:dyDescent="0.25">
      <c r="D439">
        <v>3</v>
      </c>
      <c r="E439" t="s">
        <v>12</v>
      </c>
      <c r="F439" t="s">
        <v>1165</v>
      </c>
      <c r="G439">
        <v>131</v>
      </c>
      <c r="H439" t="s">
        <v>1166</v>
      </c>
      <c r="I439">
        <v>177</v>
      </c>
      <c r="J439" t="s">
        <v>1167</v>
      </c>
      <c r="K439">
        <v>1563437</v>
      </c>
    </row>
    <row r="440" spans="4:11" x14ac:dyDescent="0.25">
      <c r="D440">
        <v>3</v>
      </c>
      <c r="E440" t="s">
        <v>183</v>
      </c>
      <c r="F440" t="s">
        <v>1168</v>
      </c>
      <c r="G440">
        <v>66</v>
      </c>
      <c r="H440" t="s">
        <v>1169</v>
      </c>
      <c r="I440">
        <v>175</v>
      </c>
      <c r="J440" t="s">
        <v>1170</v>
      </c>
      <c r="K440">
        <v>1563544</v>
      </c>
    </row>
    <row r="441" spans="4:11" x14ac:dyDescent="0.25">
      <c r="D441">
        <v>3</v>
      </c>
      <c r="E441" t="s">
        <v>107</v>
      </c>
      <c r="F441" t="s">
        <v>1171</v>
      </c>
      <c r="G441">
        <v>194</v>
      </c>
      <c r="H441" t="s">
        <v>1172</v>
      </c>
      <c r="I441">
        <v>117</v>
      </c>
      <c r="J441" t="s">
        <v>1173</v>
      </c>
      <c r="K441">
        <v>1564023</v>
      </c>
    </row>
    <row r="442" spans="4:11" x14ac:dyDescent="0.25">
      <c r="D442">
        <v>3</v>
      </c>
      <c r="E442" t="s">
        <v>20</v>
      </c>
      <c r="F442" t="s">
        <v>1174</v>
      </c>
      <c r="G442">
        <v>106</v>
      </c>
      <c r="H442" t="s">
        <v>1175</v>
      </c>
      <c r="I442">
        <v>37</v>
      </c>
      <c r="J442" t="s">
        <v>1176</v>
      </c>
      <c r="K442">
        <v>1564189</v>
      </c>
    </row>
    <row r="443" spans="4:11" x14ac:dyDescent="0.25">
      <c r="D443">
        <v>3</v>
      </c>
      <c r="E443" t="s">
        <v>16</v>
      </c>
      <c r="F443" t="s">
        <v>1177</v>
      </c>
      <c r="G443">
        <v>54</v>
      </c>
      <c r="H443" t="s">
        <v>1178</v>
      </c>
      <c r="I443">
        <v>110</v>
      </c>
      <c r="J443" t="s">
        <v>1179</v>
      </c>
      <c r="K443">
        <v>1564506</v>
      </c>
    </row>
    <row r="444" spans="4:11" x14ac:dyDescent="0.25">
      <c r="D444">
        <v>3</v>
      </c>
      <c r="E444" t="s">
        <v>255</v>
      </c>
      <c r="F444" t="s">
        <v>1180</v>
      </c>
      <c r="G444">
        <v>216</v>
      </c>
      <c r="H444" t="s">
        <v>1181</v>
      </c>
      <c r="I444">
        <v>180</v>
      </c>
      <c r="J444" t="s">
        <v>1182</v>
      </c>
      <c r="K444">
        <v>1565754</v>
      </c>
    </row>
    <row r="445" spans="4:11" x14ac:dyDescent="0.25">
      <c r="D445">
        <v>3</v>
      </c>
      <c r="E445" t="s">
        <v>24</v>
      </c>
      <c r="F445" t="s">
        <v>1183</v>
      </c>
      <c r="G445">
        <v>14</v>
      </c>
      <c r="H445" t="s">
        <v>1184</v>
      </c>
      <c r="I445">
        <v>172</v>
      </c>
      <c r="J445" t="s">
        <v>1185</v>
      </c>
      <c r="K445">
        <v>1566421</v>
      </c>
    </row>
    <row r="446" spans="4:11" x14ac:dyDescent="0.25">
      <c r="D446">
        <v>3</v>
      </c>
      <c r="E446" t="s">
        <v>50</v>
      </c>
      <c r="F446" t="s">
        <v>1186</v>
      </c>
      <c r="G446">
        <v>111</v>
      </c>
      <c r="H446" t="s">
        <v>1187</v>
      </c>
      <c r="I446">
        <v>316</v>
      </c>
      <c r="J446" t="s">
        <v>1188</v>
      </c>
      <c r="K446">
        <v>1566601</v>
      </c>
    </row>
    <row r="447" spans="4:11" x14ac:dyDescent="0.25">
      <c r="D447">
        <v>3</v>
      </c>
      <c r="E447" t="s">
        <v>43</v>
      </c>
      <c r="F447" t="s">
        <v>1189</v>
      </c>
      <c r="G447">
        <v>129</v>
      </c>
      <c r="H447" t="s">
        <v>1190</v>
      </c>
      <c r="I447">
        <v>70</v>
      </c>
      <c r="J447" t="s">
        <v>1191</v>
      </c>
      <c r="K447">
        <v>1566617</v>
      </c>
    </row>
    <row r="448" spans="4:11" x14ac:dyDescent="0.25">
      <c r="D448">
        <v>3</v>
      </c>
      <c r="E448" t="s">
        <v>50</v>
      </c>
      <c r="F448" t="s">
        <v>1192</v>
      </c>
      <c r="G448">
        <v>111</v>
      </c>
      <c r="H448" t="s">
        <v>1193</v>
      </c>
      <c r="I448">
        <v>314</v>
      </c>
      <c r="J448" t="s">
        <v>1194</v>
      </c>
      <c r="K448">
        <v>1566627</v>
      </c>
    </row>
    <row r="449" spans="4:11" x14ac:dyDescent="0.25">
      <c r="D449">
        <v>3</v>
      </c>
      <c r="E449" t="s">
        <v>64</v>
      </c>
      <c r="F449" t="s">
        <v>1195</v>
      </c>
      <c r="G449">
        <v>111</v>
      </c>
      <c r="H449" t="s">
        <v>1196</v>
      </c>
      <c r="I449">
        <v>312</v>
      </c>
      <c r="J449" t="s">
        <v>1197</v>
      </c>
      <c r="K449">
        <v>1566631</v>
      </c>
    </row>
    <row r="450" spans="4:11" x14ac:dyDescent="0.25">
      <c r="D450">
        <v>3</v>
      </c>
      <c r="E450" t="s">
        <v>16</v>
      </c>
      <c r="F450" t="s">
        <v>1198</v>
      </c>
      <c r="G450">
        <v>168</v>
      </c>
      <c r="H450" t="s">
        <v>1199</v>
      </c>
      <c r="I450">
        <v>33</v>
      </c>
      <c r="J450" t="s">
        <v>1200</v>
      </c>
      <c r="K450">
        <v>1566681</v>
      </c>
    </row>
    <row r="451" spans="4:11" x14ac:dyDescent="0.25">
      <c r="D451">
        <v>3</v>
      </c>
      <c r="E451" t="s">
        <v>16</v>
      </c>
      <c r="F451" t="s">
        <v>1201</v>
      </c>
      <c r="G451">
        <v>208</v>
      </c>
      <c r="H451" t="s">
        <v>1202</v>
      </c>
      <c r="I451">
        <v>287</v>
      </c>
      <c r="J451" t="s">
        <v>1203</v>
      </c>
      <c r="K451">
        <v>1566738</v>
      </c>
    </row>
    <row r="452" spans="4:11" x14ac:dyDescent="0.25">
      <c r="D452">
        <v>3</v>
      </c>
      <c r="E452" t="s">
        <v>155</v>
      </c>
      <c r="F452" t="s">
        <v>1204</v>
      </c>
      <c r="G452">
        <v>216</v>
      </c>
      <c r="H452" t="s">
        <v>1205</v>
      </c>
      <c r="I452">
        <v>181</v>
      </c>
      <c r="J452" t="s">
        <v>1206</v>
      </c>
      <c r="K452">
        <v>1566931</v>
      </c>
    </row>
    <row r="453" spans="4:11" x14ac:dyDescent="0.25">
      <c r="D453">
        <v>3</v>
      </c>
      <c r="E453" t="s">
        <v>43</v>
      </c>
      <c r="F453" t="s">
        <v>1207</v>
      </c>
      <c r="G453">
        <v>72</v>
      </c>
      <c r="H453" t="s">
        <v>1208</v>
      </c>
      <c r="I453">
        <v>239</v>
      </c>
      <c r="J453" t="s">
        <v>1209</v>
      </c>
      <c r="K453">
        <v>1567359</v>
      </c>
    </row>
    <row r="454" spans="4:11" x14ac:dyDescent="0.25">
      <c r="D454">
        <v>3</v>
      </c>
      <c r="E454" t="s">
        <v>155</v>
      </c>
      <c r="F454" t="s">
        <v>1210</v>
      </c>
      <c r="G454">
        <v>201</v>
      </c>
      <c r="H454" t="s">
        <v>1211</v>
      </c>
      <c r="I454">
        <v>181</v>
      </c>
      <c r="J454" t="s">
        <v>1212</v>
      </c>
      <c r="K454">
        <v>1567512</v>
      </c>
    </row>
    <row r="455" spans="4:11" x14ac:dyDescent="0.25">
      <c r="D455">
        <v>3</v>
      </c>
      <c r="E455" t="s">
        <v>50</v>
      </c>
      <c r="F455" t="s">
        <v>1213</v>
      </c>
      <c r="G455">
        <v>208</v>
      </c>
      <c r="H455" t="s">
        <v>1214</v>
      </c>
      <c r="I455">
        <v>90</v>
      </c>
      <c r="J455" t="s">
        <v>1215</v>
      </c>
      <c r="K455">
        <v>1568204</v>
      </c>
    </row>
    <row r="456" spans="4:11" x14ac:dyDescent="0.25">
      <c r="D456">
        <v>3</v>
      </c>
      <c r="E456" t="s">
        <v>35</v>
      </c>
      <c r="F456" t="s">
        <v>1216</v>
      </c>
      <c r="G456">
        <v>104</v>
      </c>
      <c r="H456" t="s">
        <v>1217</v>
      </c>
      <c r="I456">
        <v>309</v>
      </c>
      <c r="J456" t="s">
        <v>1218</v>
      </c>
      <c r="K456">
        <v>1568724</v>
      </c>
    </row>
    <row r="457" spans="4:11" x14ac:dyDescent="0.25">
      <c r="D457">
        <v>3</v>
      </c>
      <c r="E457" t="s">
        <v>54</v>
      </c>
      <c r="F457" t="s">
        <v>1219</v>
      </c>
      <c r="G457">
        <v>205</v>
      </c>
      <c r="H457" t="s">
        <v>1220</v>
      </c>
      <c r="I457">
        <v>303</v>
      </c>
      <c r="J457" t="s">
        <v>1219</v>
      </c>
      <c r="K457">
        <v>1569563</v>
      </c>
    </row>
    <row r="458" spans="4:11" x14ac:dyDescent="0.25">
      <c r="D458">
        <v>3</v>
      </c>
      <c r="E458" t="s">
        <v>16</v>
      </c>
      <c r="F458" t="s">
        <v>1221</v>
      </c>
      <c r="G458">
        <v>3</v>
      </c>
      <c r="H458" t="s">
        <v>1222</v>
      </c>
      <c r="I458">
        <v>310</v>
      </c>
      <c r="J458" t="s">
        <v>1223</v>
      </c>
      <c r="K458">
        <v>1569832</v>
      </c>
    </row>
    <row r="459" spans="4:11" x14ac:dyDescent="0.25">
      <c r="D459">
        <v>3</v>
      </c>
      <c r="E459" t="s">
        <v>20</v>
      </c>
      <c r="F459" t="s">
        <v>1224</v>
      </c>
      <c r="G459">
        <v>205</v>
      </c>
      <c r="H459" t="s">
        <v>1225</v>
      </c>
      <c r="I459">
        <v>220</v>
      </c>
      <c r="J459" t="s">
        <v>1224</v>
      </c>
      <c r="K459">
        <v>1569852</v>
      </c>
    </row>
    <row r="460" spans="4:11" x14ac:dyDescent="0.25">
      <c r="D460">
        <v>3</v>
      </c>
      <c r="E460" t="s">
        <v>16</v>
      </c>
      <c r="F460" t="s">
        <v>1226</v>
      </c>
      <c r="G460">
        <v>93</v>
      </c>
      <c r="H460" t="s">
        <v>1227</v>
      </c>
      <c r="I460">
        <v>102</v>
      </c>
      <c r="J460" t="s">
        <v>1228</v>
      </c>
      <c r="K460">
        <v>1569972</v>
      </c>
    </row>
    <row r="461" spans="4:11" x14ac:dyDescent="0.25">
      <c r="D461">
        <v>3</v>
      </c>
      <c r="E461" t="s">
        <v>50</v>
      </c>
      <c r="F461" t="s">
        <v>1229</v>
      </c>
      <c r="G461">
        <v>53</v>
      </c>
      <c r="H461" t="s">
        <v>1230</v>
      </c>
      <c r="I461">
        <v>284</v>
      </c>
      <c r="J461" t="s">
        <v>1231</v>
      </c>
      <c r="K461">
        <v>1569986</v>
      </c>
    </row>
    <row r="462" spans="4:11" x14ac:dyDescent="0.25">
      <c r="D462">
        <v>3</v>
      </c>
      <c r="E462" t="s">
        <v>64</v>
      </c>
      <c r="F462" t="s">
        <v>1232</v>
      </c>
      <c r="G462">
        <v>208</v>
      </c>
      <c r="H462" t="s">
        <v>1233</v>
      </c>
      <c r="I462">
        <v>322</v>
      </c>
      <c r="J462" t="s">
        <v>1234</v>
      </c>
      <c r="K462">
        <v>1570415</v>
      </c>
    </row>
    <row r="463" spans="4:11" x14ac:dyDescent="0.25">
      <c r="D463">
        <v>3</v>
      </c>
      <c r="E463" t="s">
        <v>16</v>
      </c>
      <c r="F463" t="s">
        <v>1235</v>
      </c>
      <c r="G463">
        <v>208</v>
      </c>
      <c r="H463" t="s">
        <v>1236</v>
      </c>
      <c r="I463">
        <v>329</v>
      </c>
      <c r="J463" t="s">
        <v>1237</v>
      </c>
      <c r="K463">
        <v>1570546</v>
      </c>
    </row>
    <row r="464" spans="4:11" x14ac:dyDescent="0.25">
      <c r="D464">
        <v>3</v>
      </c>
      <c r="E464" t="s">
        <v>8</v>
      </c>
      <c r="F464" t="s">
        <v>1238</v>
      </c>
      <c r="G464">
        <v>201</v>
      </c>
      <c r="H464" t="s">
        <v>1239</v>
      </c>
      <c r="I464">
        <v>178</v>
      </c>
      <c r="J464" t="s">
        <v>1240</v>
      </c>
      <c r="K464">
        <v>1570561</v>
      </c>
    </row>
    <row r="465" spans="4:11" x14ac:dyDescent="0.25">
      <c r="D465">
        <v>3</v>
      </c>
      <c r="E465" t="s">
        <v>54</v>
      </c>
      <c r="F465" t="s">
        <v>1241</v>
      </c>
      <c r="G465">
        <v>54</v>
      </c>
      <c r="H465" t="s">
        <v>1242</v>
      </c>
      <c r="I465">
        <v>313</v>
      </c>
      <c r="J465" t="s">
        <v>1243</v>
      </c>
      <c r="K465">
        <v>1571498</v>
      </c>
    </row>
    <row r="466" spans="4:11" x14ac:dyDescent="0.25">
      <c r="D466">
        <v>3</v>
      </c>
      <c r="E466" t="s">
        <v>50</v>
      </c>
      <c r="F466" t="s">
        <v>1244</v>
      </c>
      <c r="G466">
        <v>54</v>
      </c>
      <c r="H466" t="s">
        <v>1245</v>
      </c>
      <c r="I466">
        <v>316</v>
      </c>
      <c r="J466" t="s">
        <v>1246</v>
      </c>
      <c r="K466">
        <v>1571504</v>
      </c>
    </row>
    <row r="467" spans="4:11" x14ac:dyDescent="0.25">
      <c r="D467">
        <v>3</v>
      </c>
      <c r="E467" t="s">
        <v>39</v>
      </c>
      <c r="F467" t="s">
        <v>1247</v>
      </c>
      <c r="G467">
        <v>212</v>
      </c>
      <c r="H467" t="s">
        <v>1248</v>
      </c>
      <c r="I467">
        <v>39</v>
      </c>
      <c r="J467" t="s">
        <v>1249</v>
      </c>
      <c r="K467">
        <v>1571563</v>
      </c>
    </row>
    <row r="468" spans="4:11" x14ac:dyDescent="0.25">
      <c r="D468">
        <v>3</v>
      </c>
      <c r="E468" t="s">
        <v>39</v>
      </c>
      <c r="F468" t="s">
        <v>1250</v>
      </c>
      <c r="G468">
        <v>212</v>
      </c>
      <c r="H468" t="s">
        <v>1251</v>
      </c>
      <c r="I468">
        <v>56</v>
      </c>
      <c r="J468" t="s">
        <v>1252</v>
      </c>
      <c r="K468">
        <v>1571577</v>
      </c>
    </row>
    <row r="469" spans="4:11" x14ac:dyDescent="0.25">
      <c r="D469">
        <v>3</v>
      </c>
      <c r="E469" t="s">
        <v>183</v>
      </c>
      <c r="F469" t="s">
        <v>1253</v>
      </c>
      <c r="G469">
        <v>194</v>
      </c>
      <c r="H469" t="s">
        <v>1254</v>
      </c>
      <c r="I469">
        <v>168</v>
      </c>
      <c r="J469" t="s">
        <v>1255</v>
      </c>
      <c r="K469">
        <v>1571911</v>
      </c>
    </row>
    <row r="470" spans="4:11" x14ac:dyDescent="0.25">
      <c r="D470">
        <v>3</v>
      </c>
      <c r="E470" t="s">
        <v>35</v>
      </c>
      <c r="F470" t="s">
        <v>1256</v>
      </c>
      <c r="G470">
        <v>164</v>
      </c>
      <c r="H470" t="s">
        <v>1257</v>
      </c>
      <c r="I470">
        <v>47</v>
      </c>
      <c r="J470" t="s">
        <v>1258</v>
      </c>
      <c r="K470">
        <v>1573098</v>
      </c>
    </row>
    <row r="471" spans="4:11" x14ac:dyDescent="0.25">
      <c r="D471">
        <v>3</v>
      </c>
      <c r="E471" t="s">
        <v>20</v>
      </c>
      <c r="F471" t="s">
        <v>1259</v>
      </c>
      <c r="G471">
        <v>85</v>
      </c>
      <c r="H471" t="s">
        <v>1260</v>
      </c>
      <c r="I471">
        <v>41</v>
      </c>
      <c r="J471" t="s">
        <v>1261</v>
      </c>
      <c r="K471">
        <v>1573388</v>
      </c>
    </row>
    <row r="472" spans="4:11" x14ac:dyDescent="0.25">
      <c r="D472">
        <v>3</v>
      </c>
      <c r="E472" t="s">
        <v>54</v>
      </c>
      <c r="F472" t="s">
        <v>1262</v>
      </c>
      <c r="G472">
        <v>85</v>
      </c>
      <c r="H472" t="s">
        <v>1263</v>
      </c>
      <c r="I472">
        <v>40</v>
      </c>
      <c r="J472" t="s">
        <v>1264</v>
      </c>
      <c r="K472">
        <v>1573418</v>
      </c>
    </row>
    <row r="473" spans="4:11" x14ac:dyDescent="0.25">
      <c r="D473">
        <v>3</v>
      </c>
      <c r="E473" t="s">
        <v>31</v>
      </c>
      <c r="F473" t="s">
        <v>1265</v>
      </c>
      <c r="G473">
        <v>113</v>
      </c>
      <c r="H473" t="s">
        <v>1266</v>
      </c>
      <c r="I473">
        <v>185</v>
      </c>
      <c r="J473" t="s">
        <v>1265</v>
      </c>
      <c r="K473">
        <v>1786902</v>
      </c>
    </row>
    <row r="474" spans="4:11" x14ac:dyDescent="0.25">
      <c r="D474">
        <v>3</v>
      </c>
      <c r="E474" t="s">
        <v>43</v>
      </c>
      <c r="F474" t="s">
        <v>1267</v>
      </c>
      <c r="G474">
        <v>205</v>
      </c>
      <c r="H474" t="s">
        <v>1268</v>
      </c>
      <c r="I474">
        <v>13</v>
      </c>
      <c r="J474" t="s">
        <v>1267</v>
      </c>
      <c r="K474">
        <v>1878037</v>
      </c>
    </row>
    <row r="475" spans="4:11" x14ac:dyDescent="0.25">
      <c r="D475">
        <v>3</v>
      </c>
      <c r="E475" t="s">
        <v>50</v>
      </c>
      <c r="F475" t="s">
        <v>1269</v>
      </c>
      <c r="G475">
        <v>151</v>
      </c>
      <c r="H475" t="s">
        <v>1270</v>
      </c>
      <c r="I475">
        <v>211</v>
      </c>
      <c r="J475" t="s">
        <v>1271</v>
      </c>
      <c r="K475">
        <v>1878602</v>
      </c>
    </row>
    <row r="476" spans="4:11" x14ac:dyDescent="0.25">
      <c r="D476">
        <v>3</v>
      </c>
      <c r="E476" t="s">
        <v>16</v>
      </c>
      <c r="F476" t="s">
        <v>1272</v>
      </c>
      <c r="G476">
        <v>151</v>
      </c>
      <c r="H476" t="s">
        <v>1273</v>
      </c>
      <c r="I476">
        <v>321</v>
      </c>
      <c r="J476" t="s">
        <v>1274</v>
      </c>
      <c r="K476">
        <v>1878635</v>
      </c>
    </row>
    <row r="477" spans="4:11" x14ac:dyDescent="0.25">
      <c r="D477">
        <v>3</v>
      </c>
      <c r="E477" t="s">
        <v>50</v>
      </c>
      <c r="F477" t="s">
        <v>1275</v>
      </c>
      <c r="G477">
        <v>72</v>
      </c>
      <c r="H477" t="s">
        <v>1276</v>
      </c>
      <c r="I477">
        <v>87</v>
      </c>
      <c r="J477" t="s">
        <v>1277</v>
      </c>
      <c r="K477">
        <v>1879120</v>
      </c>
    </row>
    <row r="478" spans="4:11" x14ac:dyDescent="0.25">
      <c r="D478">
        <v>3</v>
      </c>
      <c r="E478" t="s">
        <v>54</v>
      </c>
      <c r="F478" t="s">
        <v>1278</v>
      </c>
      <c r="G478">
        <v>57</v>
      </c>
      <c r="H478" t="s">
        <v>1279</v>
      </c>
      <c r="I478">
        <v>315</v>
      </c>
      <c r="J478" t="s">
        <v>1280</v>
      </c>
      <c r="K478">
        <v>1879518</v>
      </c>
    </row>
    <row r="479" spans="4:11" x14ac:dyDescent="0.25">
      <c r="D479">
        <v>3</v>
      </c>
      <c r="E479" t="s">
        <v>20</v>
      </c>
      <c r="F479" t="s">
        <v>1281</v>
      </c>
      <c r="G479">
        <v>205</v>
      </c>
      <c r="H479" t="s">
        <v>1282</v>
      </c>
      <c r="I479">
        <v>91</v>
      </c>
      <c r="J479" t="s">
        <v>1281</v>
      </c>
      <c r="K479">
        <v>1887970</v>
      </c>
    </row>
    <row r="480" spans="4:11" x14ac:dyDescent="0.25">
      <c r="D480">
        <v>3</v>
      </c>
      <c r="E480" t="s">
        <v>64</v>
      </c>
      <c r="F480" t="s">
        <v>1283</v>
      </c>
      <c r="G480">
        <v>205</v>
      </c>
      <c r="H480" t="s">
        <v>1284</v>
      </c>
      <c r="I480">
        <v>92</v>
      </c>
      <c r="J480" t="s">
        <v>1283</v>
      </c>
      <c r="K480">
        <v>1887975</v>
      </c>
    </row>
    <row r="481" spans="4:11" x14ac:dyDescent="0.25">
      <c r="D481">
        <v>3</v>
      </c>
      <c r="E481" t="s">
        <v>12</v>
      </c>
      <c r="F481" t="s">
        <v>1285</v>
      </c>
      <c r="G481">
        <v>53</v>
      </c>
      <c r="H481" t="s">
        <v>1286</v>
      </c>
      <c r="I481">
        <v>215</v>
      </c>
      <c r="J481" t="s">
        <v>1287</v>
      </c>
      <c r="K481">
        <v>1888047</v>
      </c>
    </row>
    <row r="482" spans="4:11" x14ac:dyDescent="0.25">
      <c r="D482">
        <v>3</v>
      </c>
      <c r="E482" t="s">
        <v>39</v>
      </c>
      <c r="F482" t="s">
        <v>1288</v>
      </c>
      <c r="G482">
        <v>72</v>
      </c>
      <c r="H482" t="s">
        <v>1289</v>
      </c>
      <c r="I482">
        <v>275</v>
      </c>
      <c r="J482" t="s">
        <v>1290</v>
      </c>
      <c r="K482">
        <v>1889177</v>
      </c>
    </row>
    <row r="483" spans="4:11" x14ac:dyDescent="0.25">
      <c r="D483">
        <v>3</v>
      </c>
      <c r="E483" t="s">
        <v>255</v>
      </c>
      <c r="F483" t="s">
        <v>1291</v>
      </c>
      <c r="G483">
        <v>42</v>
      </c>
      <c r="H483" t="s">
        <v>1292</v>
      </c>
      <c r="I483">
        <v>173</v>
      </c>
      <c r="J483" t="s">
        <v>1291</v>
      </c>
      <c r="K483">
        <v>1891067</v>
      </c>
    </row>
    <row r="484" spans="4:11" x14ac:dyDescent="0.25">
      <c r="D484">
        <v>3</v>
      </c>
      <c r="E484" t="s">
        <v>183</v>
      </c>
      <c r="F484" t="s">
        <v>1293</v>
      </c>
      <c r="G484">
        <v>72</v>
      </c>
      <c r="H484" t="s">
        <v>1294</v>
      </c>
      <c r="I484">
        <v>168</v>
      </c>
      <c r="J484" t="s">
        <v>1295</v>
      </c>
      <c r="K484">
        <v>1891280</v>
      </c>
    </row>
    <row r="485" spans="4:11" x14ac:dyDescent="0.25">
      <c r="D485">
        <v>3</v>
      </c>
      <c r="E485" t="s">
        <v>107</v>
      </c>
      <c r="F485" t="s">
        <v>1296</v>
      </c>
      <c r="G485">
        <v>72</v>
      </c>
      <c r="H485" t="s">
        <v>1297</v>
      </c>
      <c r="I485">
        <v>169</v>
      </c>
      <c r="J485" t="s">
        <v>1298</v>
      </c>
      <c r="K485">
        <v>1891283</v>
      </c>
    </row>
    <row r="486" spans="4:11" x14ac:dyDescent="0.25">
      <c r="D486">
        <v>3</v>
      </c>
      <c r="E486" t="s">
        <v>12</v>
      </c>
      <c r="F486" t="s">
        <v>1299</v>
      </c>
      <c r="G486">
        <v>72</v>
      </c>
      <c r="H486" t="s">
        <v>1300</v>
      </c>
      <c r="I486">
        <v>170</v>
      </c>
      <c r="J486" t="s">
        <v>1301</v>
      </c>
      <c r="K486">
        <v>1891286</v>
      </c>
    </row>
    <row r="487" spans="4:11" x14ac:dyDescent="0.25">
      <c r="D487">
        <v>3</v>
      </c>
      <c r="E487" t="s">
        <v>8</v>
      </c>
      <c r="F487" t="s">
        <v>1302</v>
      </c>
      <c r="G487">
        <v>72</v>
      </c>
      <c r="H487" t="s">
        <v>1303</v>
      </c>
      <c r="I487">
        <v>171</v>
      </c>
      <c r="J487" t="s">
        <v>1304</v>
      </c>
      <c r="K487">
        <v>1891289</v>
      </c>
    </row>
    <row r="488" spans="4:11" x14ac:dyDescent="0.25">
      <c r="D488">
        <v>3</v>
      </c>
      <c r="E488" t="s">
        <v>155</v>
      </c>
      <c r="F488" t="s">
        <v>1305</v>
      </c>
      <c r="G488">
        <v>72</v>
      </c>
      <c r="H488" t="s">
        <v>1306</v>
      </c>
      <c r="I488">
        <v>174</v>
      </c>
      <c r="J488" t="s">
        <v>1307</v>
      </c>
      <c r="K488">
        <v>1891300</v>
      </c>
    </row>
    <row r="489" spans="4:11" x14ac:dyDescent="0.25">
      <c r="D489">
        <v>3</v>
      </c>
      <c r="E489" t="s">
        <v>24</v>
      </c>
      <c r="F489" t="s">
        <v>1308</v>
      </c>
      <c r="G489">
        <v>72</v>
      </c>
      <c r="H489" t="s">
        <v>1309</v>
      </c>
      <c r="I489">
        <v>179</v>
      </c>
      <c r="J489" t="s">
        <v>1310</v>
      </c>
      <c r="K489">
        <v>1891318</v>
      </c>
    </row>
    <row r="490" spans="4:11" x14ac:dyDescent="0.25">
      <c r="D490">
        <v>3</v>
      </c>
      <c r="E490" t="s">
        <v>39</v>
      </c>
      <c r="F490" t="s">
        <v>1311</v>
      </c>
      <c r="G490">
        <v>113</v>
      </c>
      <c r="H490" t="s">
        <v>1312</v>
      </c>
      <c r="I490">
        <v>89</v>
      </c>
      <c r="J490" t="s">
        <v>1311</v>
      </c>
      <c r="K490">
        <v>1891890</v>
      </c>
    </row>
    <row r="491" spans="4:11" x14ac:dyDescent="0.25">
      <c r="D491">
        <v>3</v>
      </c>
      <c r="E491" t="s">
        <v>16</v>
      </c>
      <c r="F491" t="s">
        <v>1313</v>
      </c>
      <c r="G491">
        <v>56</v>
      </c>
      <c r="H491" t="s">
        <v>1314</v>
      </c>
      <c r="I491">
        <v>63</v>
      </c>
      <c r="J491" t="s">
        <v>1315</v>
      </c>
      <c r="K491">
        <v>1892137</v>
      </c>
    </row>
    <row r="492" spans="4:11" x14ac:dyDescent="0.25">
      <c r="D492">
        <v>3</v>
      </c>
      <c r="E492" t="s">
        <v>16</v>
      </c>
      <c r="F492" t="s">
        <v>1316</v>
      </c>
      <c r="G492">
        <v>57</v>
      </c>
      <c r="H492" t="s">
        <v>1317</v>
      </c>
      <c r="I492">
        <v>107</v>
      </c>
      <c r="J492" t="s">
        <v>1318</v>
      </c>
      <c r="K492">
        <v>1892423</v>
      </c>
    </row>
    <row r="493" spans="4:11" x14ac:dyDescent="0.25">
      <c r="D493">
        <v>3</v>
      </c>
      <c r="E493" t="s">
        <v>255</v>
      </c>
      <c r="F493" t="s">
        <v>1319</v>
      </c>
      <c r="G493">
        <v>102</v>
      </c>
      <c r="H493" t="s">
        <v>1320</v>
      </c>
      <c r="I493">
        <v>180</v>
      </c>
      <c r="J493" t="s">
        <v>1321</v>
      </c>
      <c r="K493">
        <v>1892957</v>
      </c>
    </row>
    <row r="494" spans="4:11" x14ac:dyDescent="0.25">
      <c r="D494">
        <v>3</v>
      </c>
      <c r="E494" t="s">
        <v>50</v>
      </c>
      <c r="F494" t="s">
        <v>1322</v>
      </c>
      <c r="G494">
        <v>72</v>
      </c>
      <c r="H494" t="s">
        <v>1323</v>
      </c>
      <c r="I494">
        <v>280</v>
      </c>
      <c r="J494" t="s">
        <v>1324</v>
      </c>
      <c r="K494">
        <v>1893274</v>
      </c>
    </row>
    <row r="495" spans="4:11" x14ac:dyDescent="0.25">
      <c r="D495">
        <v>3</v>
      </c>
      <c r="E495" t="s">
        <v>54</v>
      </c>
      <c r="F495" t="s">
        <v>1325</v>
      </c>
      <c r="G495">
        <v>63</v>
      </c>
      <c r="H495" t="s">
        <v>1326</v>
      </c>
      <c r="I495">
        <v>93</v>
      </c>
      <c r="J495" t="s">
        <v>1327</v>
      </c>
      <c r="K495">
        <v>1894537</v>
      </c>
    </row>
    <row r="496" spans="4:11" x14ac:dyDescent="0.25">
      <c r="D496">
        <v>3</v>
      </c>
      <c r="E496" t="s">
        <v>35</v>
      </c>
      <c r="F496" t="s">
        <v>1328</v>
      </c>
      <c r="G496">
        <v>20</v>
      </c>
      <c r="H496" t="s">
        <v>1329</v>
      </c>
      <c r="I496">
        <v>64</v>
      </c>
      <c r="J496" t="s">
        <v>1328</v>
      </c>
      <c r="K496">
        <v>1895596</v>
      </c>
    </row>
    <row r="497" spans="4:11" x14ac:dyDescent="0.25">
      <c r="D497">
        <v>3</v>
      </c>
      <c r="E497" t="s">
        <v>24</v>
      </c>
      <c r="F497" t="s">
        <v>1330</v>
      </c>
      <c r="G497">
        <v>72</v>
      </c>
      <c r="H497" t="s">
        <v>1331</v>
      </c>
      <c r="I497">
        <v>113</v>
      </c>
      <c r="J497" t="s">
        <v>1332</v>
      </c>
      <c r="K497">
        <v>1895685</v>
      </c>
    </row>
    <row r="498" spans="4:11" x14ac:dyDescent="0.25">
      <c r="D498">
        <v>3</v>
      </c>
      <c r="E498" t="s">
        <v>20</v>
      </c>
      <c r="F498" t="s">
        <v>1333</v>
      </c>
      <c r="G498">
        <v>72</v>
      </c>
      <c r="H498" t="s">
        <v>1334</v>
      </c>
      <c r="I498">
        <v>118</v>
      </c>
      <c r="J498" t="s">
        <v>1335</v>
      </c>
      <c r="K498">
        <v>1895694</v>
      </c>
    </row>
    <row r="499" spans="4:11" x14ac:dyDescent="0.25">
      <c r="D499">
        <v>3</v>
      </c>
      <c r="E499" t="s">
        <v>155</v>
      </c>
      <c r="F499" t="s">
        <v>1336</v>
      </c>
      <c r="G499">
        <v>72</v>
      </c>
      <c r="H499" t="s">
        <v>1337</v>
      </c>
      <c r="I499">
        <v>115</v>
      </c>
      <c r="J499" t="s">
        <v>1338</v>
      </c>
      <c r="K499">
        <v>1895700</v>
      </c>
    </row>
    <row r="500" spans="4:11" x14ac:dyDescent="0.25">
      <c r="D500">
        <v>3</v>
      </c>
      <c r="E500" t="s">
        <v>50</v>
      </c>
      <c r="F500" t="s">
        <v>1339</v>
      </c>
      <c r="G500">
        <v>82</v>
      </c>
      <c r="H500" t="s">
        <v>1340</v>
      </c>
      <c r="I500">
        <v>87</v>
      </c>
      <c r="J500" t="s">
        <v>1341</v>
      </c>
      <c r="K500">
        <v>1895903</v>
      </c>
    </row>
    <row r="501" spans="4:11" x14ac:dyDescent="0.25">
      <c r="D501">
        <v>3</v>
      </c>
      <c r="E501" t="s">
        <v>107</v>
      </c>
      <c r="F501" t="s">
        <v>1342</v>
      </c>
      <c r="G501">
        <v>77</v>
      </c>
      <c r="H501" t="s">
        <v>1343</v>
      </c>
      <c r="I501">
        <v>97</v>
      </c>
      <c r="J501" t="s">
        <v>1344</v>
      </c>
      <c r="K501">
        <v>1896045</v>
      </c>
    </row>
    <row r="502" spans="4:11" x14ac:dyDescent="0.25">
      <c r="D502">
        <v>3</v>
      </c>
      <c r="E502" t="s">
        <v>43</v>
      </c>
      <c r="F502" t="s">
        <v>1342</v>
      </c>
      <c r="G502">
        <v>77</v>
      </c>
      <c r="H502" t="s">
        <v>1343</v>
      </c>
      <c r="I502">
        <v>101</v>
      </c>
      <c r="J502" t="s">
        <v>1344</v>
      </c>
      <c r="K502">
        <v>1896045</v>
      </c>
    </row>
    <row r="503" spans="4:11" x14ac:dyDescent="0.25">
      <c r="D503">
        <v>3</v>
      </c>
      <c r="E503" t="s">
        <v>12</v>
      </c>
      <c r="F503" t="s">
        <v>1345</v>
      </c>
      <c r="G503">
        <v>108</v>
      </c>
      <c r="H503" t="s">
        <v>1346</v>
      </c>
      <c r="I503">
        <v>170</v>
      </c>
      <c r="J503" t="s">
        <v>1345</v>
      </c>
      <c r="K503">
        <v>1896733</v>
      </c>
    </row>
    <row r="504" spans="4:11" x14ac:dyDescent="0.25">
      <c r="D504">
        <v>3</v>
      </c>
      <c r="E504" t="s">
        <v>12</v>
      </c>
      <c r="F504" t="s">
        <v>1347</v>
      </c>
      <c r="G504">
        <v>108</v>
      </c>
      <c r="H504" t="s">
        <v>1348</v>
      </c>
      <c r="I504">
        <v>177</v>
      </c>
      <c r="J504" t="s">
        <v>1347</v>
      </c>
      <c r="K504">
        <v>1896740</v>
      </c>
    </row>
    <row r="505" spans="4:11" x14ac:dyDescent="0.25">
      <c r="D505">
        <v>3</v>
      </c>
      <c r="E505" t="s">
        <v>183</v>
      </c>
      <c r="F505" t="s">
        <v>1349</v>
      </c>
      <c r="G505">
        <v>108</v>
      </c>
      <c r="H505" t="s">
        <v>1350</v>
      </c>
      <c r="I505">
        <v>175</v>
      </c>
      <c r="J505" t="s">
        <v>1349</v>
      </c>
      <c r="K505">
        <v>1896752</v>
      </c>
    </row>
    <row r="506" spans="4:11" x14ac:dyDescent="0.25">
      <c r="D506">
        <v>3</v>
      </c>
      <c r="E506" t="s">
        <v>16</v>
      </c>
      <c r="F506" t="s">
        <v>1351</v>
      </c>
      <c r="G506">
        <v>54</v>
      </c>
      <c r="H506" t="s">
        <v>1352</v>
      </c>
      <c r="I506">
        <v>283</v>
      </c>
      <c r="J506" t="s">
        <v>1353</v>
      </c>
      <c r="K506">
        <v>1897088</v>
      </c>
    </row>
    <row r="507" spans="4:11" x14ac:dyDescent="0.25">
      <c r="D507">
        <v>3</v>
      </c>
      <c r="E507" t="s">
        <v>12</v>
      </c>
      <c r="F507" t="s">
        <v>1354</v>
      </c>
      <c r="G507">
        <v>212</v>
      </c>
      <c r="H507" t="s">
        <v>1355</v>
      </c>
      <c r="I507">
        <v>150</v>
      </c>
      <c r="J507" t="s">
        <v>1356</v>
      </c>
      <c r="K507">
        <v>1897644</v>
      </c>
    </row>
    <row r="508" spans="4:11" x14ac:dyDescent="0.25">
      <c r="D508">
        <v>3</v>
      </c>
      <c r="E508" t="s">
        <v>50</v>
      </c>
      <c r="F508" t="s">
        <v>1357</v>
      </c>
      <c r="G508">
        <v>200</v>
      </c>
      <c r="H508" t="s">
        <v>1358</v>
      </c>
      <c r="I508">
        <v>302</v>
      </c>
      <c r="J508" t="s">
        <v>1359</v>
      </c>
      <c r="K508">
        <v>1898024</v>
      </c>
    </row>
    <row r="509" spans="4:11" x14ac:dyDescent="0.25">
      <c r="D509">
        <v>3</v>
      </c>
      <c r="E509" t="s">
        <v>64</v>
      </c>
      <c r="F509" t="s">
        <v>1360</v>
      </c>
      <c r="G509">
        <v>200</v>
      </c>
      <c r="H509" t="s">
        <v>1361</v>
      </c>
      <c r="I509">
        <v>92</v>
      </c>
      <c r="J509" t="s">
        <v>1362</v>
      </c>
      <c r="K509">
        <v>1898283</v>
      </c>
    </row>
    <row r="510" spans="4:11" x14ac:dyDescent="0.25">
      <c r="D510">
        <v>3</v>
      </c>
      <c r="E510" t="s">
        <v>20</v>
      </c>
      <c r="F510" t="s">
        <v>1363</v>
      </c>
      <c r="G510">
        <v>93</v>
      </c>
      <c r="H510" t="s">
        <v>1364</v>
      </c>
      <c r="I510">
        <v>224</v>
      </c>
      <c r="J510" t="s">
        <v>1365</v>
      </c>
      <c r="K510">
        <v>1899493</v>
      </c>
    </row>
    <row r="511" spans="4:11" x14ac:dyDescent="0.25">
      <c r="D511">
        <v>3</v>
      </c>
      <c r="E511" t="s">
        <v>20</v>
      </c>
      <c r="F511" t="s">
        <v>1366</v>
      </c>
      <c r="G511">
        <v>77</v>
      </c>
      <c r="H511" t="s">
        <v>1367</v>
      </c>
      <c r="I511">
        <v>209</v>
      </c>
      <c r="J511" t="s">
        <v>1368</v>
      </c>
      <c r="K511">
        <v>1899748</v>
      </c>
    </row>
    <row r="512" spans="4:11" x14ac:dyDescent="0.25">
      <c r="D512">
        <v>3</v>
      </c>
      <c r="E512" t="s">
        <v>16</v>
      </c>
      <c r="F512" t="s">
        <v>1369</v>
      </c>
      <c r="G512">
        <v>77</v>
      </c>
      <c r="H512" t="s">
        <v>1370</v>
      </c>
      <c r="I512">
        <v>139</v>
      </c>
      <c r="J512" t="s">
        <v>1371</v>
      </c>
      <c r="K512">
        <v>1900857</v>
      </c>
    </row>
    <row r="513" spans="4:11" x14ac:dyDescent="0.25">
      <c r="D513">
        <v>3</v>
      </c>
      <c r="E513" t="s">
        <v>54</v>
      </c>
      <c r="F513" t="s">
        <v>1372</v>
      </c>
      <c r="G513">
        <v>106</v>
      </c>
      <c r="H513" t="s">
        <v>1373</v>
      </c>
      <c r="I513">
        <v>31</v>
      </c>
      <c r="J513" t="s">
        <v>1374</v>
      </c>
      <c r="K513">
        <v>1901251</v>
      </c>
    </row>
    <row r="514" spans="4:11" x14ac:dyDescent="0.25">
      <c r="D514">
        <v>3</v>
      </c>
      <c r="E514" t="s">
        <v>35</v>
      </c>
      <c r="F514" t="s">
        <v>1375</v>
      </c>
      <c r="G514">
        <v>42</v>
      </c>
      <c r="H514" t="s">
        <v>1376</v>
      </c>
      <c r="I514">
        <v>134</v>
      </c>
      <c r="J514" t="s">
        <v>1375</v>
      </c>
      <c r="K514">
        <v>1901539</v>
      </c>
    </row>
    <row r="515" spans="4:11" x14ac:dyDescent="0.25">
      <c r="D515">
        <v>3</v>
      </c>
      <c r="E515" t="s">
        <v>39</v>
      </c>
      <c r="F515" t="s">
        <v>1377</v>
      </c>
      <c r="G515">
        <v>113</v>
      </c>
      <c r="H515" t="s">
        <v>1378</v>
      </c>
      <c r="I515">
        <v>1</v>
      </c>
      <c r="J515" t="s">
        <v>1377</v>
      </c>
      <c r="K515">
        <v>1902144</v>
      </c>
    </row>
    <row r="516" spans="4:11" x14ac:dyDescent="0.25">
      <c r="D516">
        <v>3</v>
      </c>
      <c r="E516" t="s">
        <v>35</v>
      </c>
      <c r="F516" t="s">
        <v>1379</v>
      </c>
      <c r="G516">
        <v>93</v>
      </c>
      <c r="H516" t="s">
        <v>1380</v>
      </c>
      <c r="I516">
        <v>184</v>
      </c>
      <c r="J516" t="s">
        <v>1381</v>
      </c>
      <c r="K516">
        <v>1902450</v>
      </c>
    </row>
    <row r="517" spans="4:11" x14ac:dyDescent="0.25">
      <c r="D517">
        <v>3</v>
      </c>
      <c r="E517" t="s">
        <v>16</v>
      </c>
      <c r="F517" t="s">
        <v>1382</v>
      </c>
      <c r="G517">
        <v>111</v>
      </c>
      <c r="H517" t="s">
        <v>1383</v>
      </c>
      <c r="I517">
        <v>321</v>
      </c>
      <c r="J517" t="s">
        <v>1384</v>
      </c>
      <c r="K517">
        <v>1902786</v>
      </c>
    </row>
    <row r="518" spans="4:11" x14ac:dyDescent="0.25">
      <c r="D518">
        <v>3</v>
      </c>
      <c r="E518" t="s">
        <v>54</v>
      </c>
      <c r="F518" t="s">
        <v>1385</v>
      </c>
      <c r="G518">
        <v>33</v>
      </c>
      <c r="H518" t="s">
        <v>1386</v>
      </c>
      <c r="I518">
        <v>308</v>
      </c>
      <c r="J518" t="s">
        <v>1387</v>
      </c>
      <c r="K518">
        <v>1902787</v>
      </c>
    </row>
    <row r="519" spans="4:11" x14ac:dyDescent="0.25">
      <c r="D519">
        <v>3</v>
      </c>
      <c r="E519" t="s">
        <v>39</v>
      </c>
      <c r="F519" t="s">
        <v>1388</v>
      </c>
      <c r="G519">
        <v>20</v>
      </c>
      <c r="H519" t="s">
        <v>1389</v>
      </c>
      <c r="I519">
        <v>119</v>
      </c>
      <c r="J519" t="s">
        <v>1390</v>
      </c>
      <c r="K519">
        <v>1903120</v>
      </c>
    </row>
    <row r="520" spans="4:11" x14ac:dyDescent="0.25">
      <c r="D520">
        <v>3</v>
      </c>
      <c r="E520" t="s">
        <v>24</v>
      </c>
      <c r="F520" t="s">
        <v>1391</v>
      </c>
      <c r="G520">
        <v>20</v>
      </c>
      <c r="H520" t="s">
        <v>1392</v>
      </c>
      <c r="I520">
        <v>172</v>
      </c>
      <c r="J520" t="s">
        <v>1393</v>
      </c>
      <c r="K520">
        <v>1903248</v>
      </c>
    </row>
    <row r="521" spans="4:11" x14ac:dyDescent="0.25">
      <c r="D521">
        <v>3</v>
      </c>
      <c r="E521" t="s">
        <v>35</v>
      </c>
      <c r="F521" t="s">
        <v>1394</v>
      </c>
      <c r="G521">
        <v>20</v>
      </c>
      <c r="H521" t="s">
        <v>1395</v>
      </c>
      <c r="I521">
        <v>286</v>
      </c>
      <c r="J521" t="s">
        <v>1396</v>
      </c>
      <c r="K521">
        <v>1903284</v>
      </c>
    </row>
    <row r="522" spans="4:11" x14ac:dyDescent="0.25">
      <c r="D522">
        <v>3</v>
      </c>
      <c r="E522" t="s">
        <v>16</v>
      </c>
      <c r="F522" t="s">
        <v>1397</v>
      </c>
      <c r="G522">
        <v>113</v>
      </c>
      <c r="H522" t="s">
        <v>1398</v>
      </c>
      <c r="I522">
        <v>287</v>
      </c>
      <c r="J522" t="s">
        <v>1397</v>
      </c>
      <c r="K522">
        <v>1904039</v>
      </c>
    </row>
    <row r="523" spans="4:11" x14ac:dyDescent="0.25">
      <c r="D523">
        <v>3</v>
      </c>
      <c r="E523" t="s">
        <v>255</v>
      </c>
      <c r="F523" t="s">
        <v>1399</v>
      </c>
      <c r="G523">
        <v>66</v>
      </c>
      <c r="H523" t="s">
        <v>1400</v>
      </c>
      <c r="I523">
        <v>42</v>
      </c>
      <c r="J523" t="s">
        <v>1401</v>
      </c>
      <c r="K523">
        <v>1904165</v>
      </c>
    </row>
    <row r="524" spans="4:11" x14ac:dyDescent="0.25">
      <c r="D524">
        <v>3</v>
      </c>
      <c r="E524" t="s">
        <v>24</v>
      </c>
      <c r="F524" t="s">
        <v>1402</v>
      </c>
      <c r="G524">
        <v>77</v>
      </c>
      <c r="H524" t="s">
        <v>1403</v>
      </c>
      <c r="I524">
        <v>295</v>
      </c>
      <c r="J524" t="s">
        <v>1404</v>
      </c>
      <c r="K524">
        <v>1904244</v>
      </c>
    </row>
    <row r="525" spans="4:11" x14ac:dyDescent="0.25">
      <c r="D525">
        <v>3</v>
      </c>
      <c r="E525" t="s">
        <v>39</v>
      </c>
      <c r="F525" t="s">
        <v>1405</v>
      </c>
      <c r="G525">
        <v>77</v>
      </c>
      <c r="H525" t="s">
        <v>1406</v>
      </c>
      <c r="I525">
        <v>11</v>
      </c>
      <c r="J525" t="s">
        <v>1407</v>
      </c>
      <c r="K525">
        <v>1904740</v>
      </c>
    </row>
    <row r="526" spans="4:11" x14ac:dyDescent="0.25">
      <c r="D526">
        <v>3</v>
      </c>
      <c r="E526" t="s">
        <v>20</v>
      </c>
      <c r="F526" t="s">
        <v>1408</v>
      </c>
      <c r="G526">
        <v>77</v>
      </c>
      <c r="H526" t="s">
        <v>1409</v>
      </c>
      <c r="I526">
        <v>8</v>
      </c>
      <c r="J526" t="s">
        <v>1410</v>
      </c>
      <c r="K526">
        <v>1904741</v>
      </c>
    </row>
    <row r="527" spans="4:11" x14ac:dyDescent="0.25">
      <c r="D527">
        <v>3</v>
      </c>
      <c r="E527" t="s">
        <v>24</v>
      </c>
      <c r="F527" t="s">
        <v>1411</v>
      </c>
      <c r="G527">
        <v>82</v>
      </c>
      <c r="H527" t="s">
        <v>1412</v>
      </c>
      <c r="I527">
        <v>245</v>
      </c>
      <c r="J527" t="s">
        <v>1413</v>
      </c>
      <c r="K527">
        <v>1907171</v>
      </c>
    </row>
    <row r="528" spans="4:11" x14ac:dyDescent="0.25">
      <c r="D528">
        <v>3</v>
      </c>
      <c r="E528" t="s">
        <v>39</v>
      </c>
      <c r="F528" t="s">
        <v>1414</v>
      </c>
      <c r="G528">
        <v>60</v>
      </c>
      <c r="H528" t="s">
        <v>1415</v>
      </c>
      <c r="I528">
        <v>81</v>
      </c>
      <c r="J528" t="s">
        <v>1416</v>
      </c>
      <c r="K528">
        <v>1908817</v>
      </c>
    </row>
    <row r="529" spans="4:11" x14ac:dyDescent="0.25">
      <c r="D529">
        <v>3</v>
      </c>
      <c r="E529" t="s">
        <v>39</v>
      </c>
      <c r="F529" t="s">
        <v>1417</v>
      </c>
      <c r="G529">
        <v>201</v>
      </c>
      <c r="H529" t="s">
        <v>1418</v>
      </c>
      <c r="I529">
        <v>86</v>
      </c>
      <c r="J529" t="s">
        <v>1419</v>
      </c>
      <c r="K529">
        <v>1909011</v>
      </c>
    </row>
    <row r="530" spans="4:11" x14ac:dyDescent="0.25">
      <c r="D530">
        <v>3</v>
      </c>
      <c r="E530" t="s">
        <v>155</v>
      </c>
      <c r="F530" t="s">
        <v>1420</v>
      </c>
      <c r="G530">
        <v>72</v>
      </c>
      <c r="H530" t="s">
        <v>1421</v>
      </c>
      <c r="I530">
        <v>257</v>
      </c>
      <c r="J530" t="s">
        <v>1422</v>
      </c>
      <c r="K530">
        <v>1909292</v>
      </c>
    </row>
    <row r="531" spans="4:11" x14ac:dyDescent="0.25">
      <c r="D531">
        <v>3</v>
      </c>
      <c r="E531" t="s">
        <v>54</v>
      </c>
      <c r="F531" t="s">
        <v>1423</v>
      </c>
      <c r="G531">
        <v>42</v>
      </c>
      <c r="H531" t="s">
        <v>1424</v>
      </c>
      <c r="I531">
        <v>281</v>
      </c>
      <c r="J531" t="s">
        <v>1423</v>
      </c>
      <c r="K531">
        <v>1910367</v>
      </c>
    </row>
    <row r="532" spans="4:11" x14ac:dyDescent="0.25">
      <c r="D532">
        <v>3</v>
      </c>
      <c r="E532" t="s">
        <v>50</v>
      </c>
      <c r="F532" t="s">
        <v>1425</v>
      </c>
      <c r="G532">
        <v>110</v>
      </c>
      <c r="H532" t="s">
        <v>1426</v>
      </c>
      <c r="I532">
        <v>30</v>
      </c>
      <c r="J532" t="s">
        <v>1427</v>
      </c>
      <c r="K532">
        <v>1910445</v>
      </c>
    </row>
    <row r="533" spans="4:11" x14ac:dyDescent="0.25">
      <c r="D533">
        <v>3</v>
      </c>
      <c r="E533" t="s">
        <v>64</v>
      </c>
      <c r="F533" t="s">
        <v>1428</v>
      </c>
      <c r="G533">
        <v>110</v>
      </c>
      <c r="H533" t="s">
        <v>1429</v>
      </c>
      <c r="I533">
        <v>53</v>
      </c>
      <c r="J533" t="s">
        <v>1430</v>
      </c>
      <c r="K533">
        <v>1910453</v>
      </c>
    </row>
    <row r="534" spans="4:11" x14ac:dyDescent="0.25">
      <c r="D534">
        <v>3</v>
      </c>
      <c r="E534" t="s">
        <v>16</v>
      </c>
      <c r="F534" t="s">
        <v>1431</v>
      </c>
      <c r="G534">
        <v>110</v>
      </c>
      <c r="H534" t="s">
        <v>1432</v>
      </c>
      <c r="I534">
        <v>29</v>
      </c>
      <c r="J534" t="s">
        <v>1433</v>
      </c>
      <c r="K534">
        <v>1910555</v>
      </c>
    </row>
    <row r="535" spans="4:11" x14ac:dyDescent="0.25">
      <c r="D535">
        <v>3</v>
      </c>
      <c r="E535" t="s">
        <v>64</v>
      </c>
      <c r="F535" t="s">
        <v>1434</v>
      </c>
      <c r="G535">
        <v>77</v>
      </c>
      <c r="H535" t="s">
        <v>1435</v>
      </c>
      <c r="I535">
        <v>84</v>
      </c>
      <c r="J535" t="s">
        <v>1436</v>
      </c>
      <c r="K535">
        <v>1912009</v>
      </c>
    </row>
    <row r="536" spans="4:11" x14ac:dyDescent="0.25">
      <c r="D536">
        <v>3</v>
      </c>
      <c r="E536" t="s">
        <v>35</v>
      </c>
      <c r="F536" t="s">
        <v>1437</v>
      </c>
      <c r="G536">
        <v>77</v>
      </c>
      <c r="H536" t="s">
        <v>1438</v>
      </c>
      <c r="I536">
        <v>123</v>
      </c>
      <c r="J536" t="s">
        <v>1439</v>
      </c>
      <c r="K536">
        <v>1912515</v>
      </c>
    </row>
    <row r="537" spans="4:11" x14ac:dyDescent="0.25">
      <c r="D537">
        <v>3</v>
      </c>
      <c r="E537" t="s">
        <v>54</v>
      </c>
      <c r="F537" t="s">
        <v>1440</v>
      </c>
      <c r="G537">
        <v>77</v>
      </c>
      <c r="H537" t="s">
        <v>1441</v>
      </c>
      <c r="I537">
        <v>130</v>
      </c>
      <c r="J537" t="s">
        <v>1442</v>
      </c>
      <c r="K537">
        <v>1912522</v>
      </c>
    </row>
    <row r="538" spans="4:11" x14ac:dyDescent="0.25">
      <c r="D538">
        <v>3</v>
      </c>
      <c r="E538" t="s">
        <v>31</v>
      </c>
      <c r="F538" t="s">
        <v>1440</v>
      </c>
      <c r="G538">
        <v>77</v>
      </c>
      <c r="H538" t="s">
        <v>1441</v>
      </c>
      <c r="I538">
        <v>129</v>
      </c>
      <c r="J538" t="s">
        <v>1442</v>
      </c>
      <c r="K538">
        <v>1912522</v>
      </c>
    </row>
    <row r="539" spans="4:11" x14ac:dyDescent="0.25">
      <c r="D539">
        <v>3</v>
      </c>
      <c r="E539" t="s">
        <v>16</v>
      </c>
      <c r="F539" t="s">
        <v>1443</v>
      </c>
      <c r="G539">
        <v>42</v>
      </c>
      <c r="H539" t="s">
        <v>1444</v>
      </c>
      <c r="I539">
        <v>163</v>
      </c>
      <c r="J539" t="s">
        <v>1443</v>
      </c>
      <c r="K539">
        <v>1913218</v>
      </c>
    </row>
    <row r="540" spans="4:11" x14ac:dyDescent="0.25">
      <c r="D540">
        <v>3</v>
      </c>
      <c r="E540" t="s">
        <v>43</v>
      </c>
      <c r="F540" t="s">
        <v>1445</v>
      </c>
      <c r="G540">
        <v>82</v>
      </c>
      <c r="H540" t="s">
        <v>1446</v>
      </c>
      <c r="I540">
        <v>100</v>
      </c>
      <c r="J540" t="s">
        <v>1447</v>
      </c>
      <c r="K540">
        <v>1913780</v>
      </c>
    </row>
    <row r="541" spans="4:11" x14ac:dyDescent="0.25">
      <c r="D541">
        <v>3</v>
      </c>
      <c r="E541" t="s">
        <v>43</v>
      </c>
      <c r="F541" t="s">
        <v>1448</v>
      </c>
      <c r="G541">
        <v>42</v>
      </c>
      <c r="H541" t="s">
        <v>1449</v>
      </c>
      <c r="I541">
        <v>218</v>
      </c>
      <c r="J541" t="s">
        <v>1448</v>
      </c>
      <c r="K541">
        <v>1913919</v>
      </c>
    </row>
    <row r="542" spans="4:11" x14ac:dyDescent="0.25">
      <c r="D542">
        <v>3</v>
      </c>
      <c r="E542" t="s">
        <v>155</v>
      </c>
      <c r="F542" t="s">
        <v>1450</v>
      </c>
      <c r="G542">
        <v>42</v>
      </c>
      <c r="H542" t="s">
        <v>1451</v>
      </c>
      <c r="I542">
        <v>222</v>
      </c>
      <c r="J542" t="s">
        <v>1450</v>
      </c>
      <c r="K542">
        <v>1913972</v>
      </c>
    </row>
    <row r="543" spans="4:11" x14ac:dyDescent="0.25">
      <c r="D543">
        <v>3</v>
      </c>
      <c r="E543" t="s">
        <v>35</v>
      </c>
      <c r="F543" t="s">
        <v>1452</v>
      </c>
      <c r="G543">
        <v>57</v>
      </c>
      <c r="H543" t="s">
        <v>1453</v>
      </c>
      <c r="I543">
        <v>282</v>
      </c>
      <c r="J543" t="s">
        <v>1454</v>
      </c>
      <c r="K543">
        <v>1914832</v>
      </c>
    </row>
    <row r="544" spans="4:11" x14ac:dyDescent="0.25">
      <c r="D544">
        <v>3</v>
      </c>
      <c r="E544" t="s">
        <v>155</v>
      </c>
      <c r="F544" t="s">
        <v>1455</v>
      </c>
      <c r="G544">
        <v>42</v>
      </c>
      <c r="H544" t="s">
        <v>1456</v>
      </c>
      <c r="I544">
        <v>293</v>
      </c>
      <c r="J544" t="s">
        <v>1455</v>
      </c>
      <c r="K544">
        <v>1918789</v>
      </c>
    </row>
    <row r="545" spans="4:11" x14ac:dyDescent="0.25">
      <c r="D545">
        <v>3</v>
      </c>
      <c r="E545" t="s">
        <v>24</v>
      </c>
      <c r="F545" t="s">
        <v>1457</v>
      </c>
      <c r="G545">
        <v>42</v>
      </c>
      <c r="H545" t="s">
        <v>1458</v>
      </c>
      <c r="I545">
        <v>7</v>
      </c>
      <c r="J545" t="s">
        <v>1457</v>
      </c>
      <c r="K545">
        <v>1918860</v>
      </c>
    </row>
    <row r="546" spans="4:11" x14ac:dyDescent="0.25">
      <c r="D546">
        <v>3</v>
      </c>
      <c r="E546" t="s">
        <v>43</v>
      </c>
      <c r="F546" t="s">
        <v>843</v>
      </c>
      <c r="G546">
        <v>42</v>
      </c>
      <c r="H546" t="s">
        <v>844</v>
      </c>
      <c r="I546">
        <v>13</v>
      </c>
      <c r="J546" t="s">
        <v>843</v>
      </c>
      <c r="K546">
        <v>1918864</v>
      </c>
    </row>
    <row r="547" spans="4:11" x14ac:dyDescent="0.25">
      <c r="D547">
        <v>3</v>
      </c>
      <c r="E547" t="s">
        <v>35</v>
      </c>
      <c r="F547" t="s">
        <v>1459</v>
      </c>
      <c r="G547">
        <v>42</v>
      </c>
      <c r="H547" t="s">
        <v>1460</v>
      </c>
      <c r="I547">
        <v>60</v>
      </c>
      <c r="J547" t="s">
        <v>1459</v>
      </c>
      <c r="K547">
        <v>1919065</v>
      </c>
    </row>
    <row r="548" spans="4:11" x14ac:dyDescent="0.25">
      <c r="D548">
        <v>3</v>
      </c>
      <c r="E548" t="s">
        <v>64</v>
      </c>
      <c r="F548" t="s">
        <v>1461</v>
      </c>
      <c r="G548">
        <v>42</v>
      </c>
      <c r="H548" t="s">
        <v>1462</v>
      </c>
      <c r="I548">
        <v>62</v>
      </c>
      <c r="J548" t="s">
        <v>1461</v>
      </c>
      <c r="K548">
        <v>1919077</v>
      </c>
    </row>
    <row r="549" spans="4:11" x14ac:dyDescent="0.25">
      <c r="D549">
        <v>3</v>
      </c>
      <c r="E549" t="s">
        <v>43</v>
      </c>
      <c r="F549" t="s">
        <v>328</v>
      </c>
      <c r="G549">
        <v>108</v>
      </c>
      <c r="H549" t="s">
        <v>329</v>
      </c>
      <c r="I549">
        <v>12</v>
      </c>
      <c r="J549" t="s">
        <v>328</v>
      </c>
      <c r="K549">
        <v>1919480</v>
      </c>
    </row>
    <row r="550" spans="4:11" x14ac:dyDescent="0.25">
      <c r="D550">
        <v>3</v>
      </c>
      <c r="E550" t="s">
        <v>64</v>
      </c>
      <c r="F550" t="s">
        <v>1463</v>
      </c>
      <c r="G550">
        <v>42</v>
      </c>
      <c r="H550" t="s">
        <v>1464</v>
      </c>
      <c r="I550">
        <v>317</v>
      </c>
      <c r="J550" t="s">
        <v>1463</v>
      </c>
      <c r="K550">
        <v>1919983</v>
      </c>
    </row>
    <row r="551" spans="4:11" x14ac:dyDescent="0.25">
      <c r="D551">
        <v>3</v>
      </c>
      <c r="E551" t="s">
        <v>50</v>
      </c>
      <c r="F551" t="s">
        <v>1465</v>
      </c>
      <c r="G551">
        <v>42</v>
      </c>
      <c r="H551" t="s">
        <v>1466</v>
      </c>
      <c r="I551">
        <v>318</v>
      </c>
      <c r="J551" t="s">
        <v>1465</v>
      </c>
      <c r="K551">
        <v>1920000</v>
      </c>
    </row>
    <row r="552" spans="4:11" x14ac:dyDescent="0.25">
      <c r="D552">
        <v>3</v>
      </c>
      <c r="E552" t="s">
        <v>54</v>
      </c>
      <c r="F552" t="s">
        <v>1467</v>
      </c>
      <c r="G552">
        <v>42</v>
      </c>
      <c r="H552" t="s">
        <v>1468</v>
      </c>
      <c r="I552">
        <v>319</v>
      </c>
      <c r="J552" t="s">
        <v>1467</v>
      </c>
      <c r="K552">
        <v>1920006</v>
      </c>
    </row>
    <row r="553" spans="4:11" x14ac:dyDescent="0.25">
      <c r="D553">
        <v>3</v>
      </c>
      <c r="E553" t="s">
        <v>35</v>
      </c>
      <c r="F553" t="s">
        <v>1469</v>
      </c>
      <c r="G553">
        <v>42</v>
      </c>
      <c r="H553" t="s">
        <v>1470</v>
      </c>
      <c r="I553">
        <v>320</v>
      </c>
      <c r="J553" t="s">
        <v>1469</v>
      </c>
      <c r="K553">
        <v>1920010</v>
      </c>
    </row>
    <row r="554" spans="4:11" x14ac:dyDescent="0.25">
      <c r="D554">
        <v>3</v>
      </c>
      <c r="E554" t="s">
        <v>43</v>
      </c>
      <c r="F554" t="s">
        <v>1471</v>
      </c>
      <c r="G554">
        <v>53</v>
      </c>
      <c r="H554" t="s">
        <v>1472</v>
      </c>
      <c r="I554">
        <v>61</v>
      </c>
      <c r="J554" t="s">
        <v>1473</v>
      </c>
      <c r="K554">
        <v>1922205</v>
      </c>
    </row>
    <row r="555" spans="4:11" x14ac:dyDescent="0.25">
      <c r="D555">
        <v>3</v>
      </c>
      <c r="E555" t="s">
        <v>35</v>
      </c>
      <c r="F555" t="s">
        <v>1474</v>
      </c>
      <c r="G555">
        <v>104</v>
      </c>
      <c r="H555" t="s">
        <v>1475</v>
      </c>
      <c r="I555">
        <v>187</v>
      </c>
      <c r="J555" t="s">
        <v>1474</v>
      </c>
      <c r="K555">
        <v>1923694</v>
      </c>
    </row>
    <row r="556" spans="4:11" x14ac:dyDescent="0.25">
      <c r="D556">
        <v>3</v>
      </c>
      <c r="E556" t="s">
        <v>183</v>
      </c>
      <c r="F556" t="s">
        <v>1476</v>
      </c>
      <c r="G556">
        <v>104</v>
      </c>
      <c r="H556" t="s">
        <v>1477</v>
      </c>
      <c r="I556">
        <v>153</v>
      </c>
      <c r="J556" t="s">
        <v>1478</v>
      </c>
      <c r="K556">
        <v>1924595</v>
      </c>
    </row>
    <row r="557" spans="4:11" x14ac:dyDescent="0.25">
      <c r="D557">
        <v>3</v>
      </c>
      <c r="E557" t="s">
        <v>12</v>
      </c>
      <c r="F557" t="s">
        <v>1479</v>
      </c>
      <c r="G557">
        <v>91</v>
      </c>
      <c r="H557" t="s">
        <v>1480</v>
      </c>
      <c r="I557">
        <v>242</v>
      </c>
      <c r="J557" t="s">
        <v>1479</v>
      </c>
      <c r="K557">
        <v>1925125</v>
      </c>
    </row>
    <row r="558" spans="4:11" x14ac:dyDescent="0.25">
      <c r="D558">
        <v>3</v>
      </c>
      <c r="E558" t="s">
        <v>24</v>
      </c>
      <c r="F558" t="s">
        <v>1479</v>
      </c>
      <c r="G558">
        <v>91</v>
      </c>
      <c r="H558" t="s">
        <v>1480</v>
      </c>
      <c r="I558">
        <v>241</v>
      </c>
      <c r="J558" t="s">
        <v>1479</v>
      </c>
      <c r="K558">
        <v>1925125</v>
      </c>
    </row>
    <row r="559" spans="4:11" x14ac:dyDescent="0.25">
      <c r="D559">
        <v>3</v>
      </c>
      <c r="E559" t="s">
        <v>8</v>
      </c>
      <c r="F559" t="s">
        <v>877</v>
      </c>
      <c r="G559">
        <v>104</v>
      </c>
      <c r="H559" t="s">
        <v>878</v>
      </c>
      <c r="I559">
        <v>261</v>
      </c>
      <c r="J559" t="s">
        <v>879</v>
      </c>
      <c r="K559">
        <v>1925630</v>
      </c>
    </row>
    <row r="560" spans="4:11" x14ac:dyDescent="0.25">
      <c r="D560">
        <v>3</v>
      </c>
      <c r="E560" t="s">
        <v>54</v>
      </c>
      <c r="F560" t="s">
        <v>1481</v>
      </c>
      <c r="G560">
        <v>104</v>
      </c>
      <c r="H560" t="s">
        <v>1482</v>
      </c>
      <c r="I560">
        <v>183</v>
      </c>
      <c r="J560" t="s">
        <v>1483</v>
      </c>
      <c r="K560">
        <v>1925804</v>
      </c>
    </row>
    <row r="561" spans="4:11" x14ac:dyDescent="0.25">
      <c r="D561">
        <v>3</v>
      </c>
      <c r="E561" t="s">
        <v>43</v>
      </c>
      <c r="F561" t="s">
        <v>1484</v>
      </c>
      <c r="G561">
        <v>110</v>
      </c>
      <c r="H561" t="s">
        <v>1485</v>
      </c>
      <c r="I561">
        <v>48</v>
      </c>
      <c r="J561" t="s">
        <v>1486</v>
      </c>
      <c r="K561">
        <v>1928047</v>
      </c>
    </row>
    <row r="562" spans="4:11" x14ac:dyDescent="0.25">
      <c r="D562">
        <v>3</v>
      </c>
      <c r="E562" t="s">
        <v>155</v>
      </c>
      <c r="F562" t="s">
        <v>1487</v>
      </c>
      <c r="G562">
        <v>113</v>
      </c>
      <c r="H562" t="s">
        <v>1488</v>
      </c>
      <c r="I562">
        <v>174</v>
      </c>
      <c r="J562" t="s">
        <v>1487</v>
      </c>
      <c r="K562">
        <v>1928070</v>
      </c>
    </row>
    <row r="563" spans="4:11" x14ac:dyDescent="0.25">
      <c r="D563">
        <v>3</v>
      </c>
      <c r="E563" t="s">
        <v>8</v>
      </c>
      <c r="F563" t="s">
        <v>1489</v>
      </c>
      <c r="G563">
        <v>113</v>
      </c>
      <c r="H563" t="s">
        <v>1490</v>
      </c>
      <c r="I563">
        <v>178</v>
      </c>
      <c r="J563" t="s">
        <v>1489</v>
      </c>
      <c r="K563">
        <v>1928079</v>
      </c>
    </row>
    <row r="564" spans="4:11" x14ac:dyDescent="0.25">
      <c r="D564">
        <v>3</v>
      </c>
      <c r="E564" t="s">
        <v>35</v>
      </c>
      <c r="F564" t="s">
        <v>1491</v>
      </c>
      <c r="G564">
        <v>104</v>
      </c>
      <c r="H564" t="s">
        <v>1492</v>
      </c>
      <c r="I564">
        <v>282</v>
      </c>
      <c r="J564" t="s">
        <v>1493</v>
      </c>
      <c r="K564">
        <v>1929685</v>
      </c>
    </row>
    <row r="565" spans="4:11" x14ac:dyDescent="0.25">
      <c r="D565">
        <v>3</v>
      </c>
      <c r="E565" t="s">
        <v>20</v>
      </c>
      <c r="F565" t="s">
        <v>1494</v>
      </c>
      <c r="G565">
        <v>108</v>
      </c>
      <c r="H565" t="s">
        <v>1495</v>
      </c>
      <c r="I565">
        <v>276</v>
      </c>
      <c r="J565" t="s">
        <v>1496</v>
      </c>
      <c r="K565">
        <v>1931100</v>
      </c>
    </row>
    <row r="566" spans="4:11" x14ac:dyDescent="0.25">
      <c r="D566">
        <v>3</v>
      </c>
      <c r="E566" t="s">
        <v>64</v>
      </c>
      <c r="F566" t="s">
        <v>1497</v>
      </c>
      <c r="G566">
        <v>109</v>
      </c>
      <c r="H566" t="s">
        <v>1498</v>
      </c>
      <c r="I566">
        <v>88</v>
      </c>
      <c r="J566" t="s">
        <v>1499</v>
      </c>
      <c r="K566">
        <v>1931331</v>
      </c>
    </row>
    <row r="567" spans="4:11" x14ac:dyDescent="0.25">
      <c r="D567">
        <v>3</v>
      </c>
      <c r="E567" t="s">
        <v>35</v>
      </c>
      <c r="F567" t="s">
        <v>1500</v>
      </c>
      <c r="G567">
        <v>95</v>
      </c>
      <c r="H567" t="s">
        <v>1501</v>
      </c>
      <c r="I567">
        <v>324</v>
      </c>
      <c r="J567" t="s">
        <v>1502</v>
      </c>
      <c r="K567">
        <v>1931496</v>
      </c>
    </row>
    <row r="568" spans="4:11" x14ac:dyDescent="0.25">
      <c r="D568">
        <v>3</v>
      </c>
      <c r="E568" t="s">
        <v>155</v>
      </c>
      <c r="F568" t="s">
        <v>1503</v>
      </c>
      <c r="G568">
        <v>164</v>
      </c>
      <c r="H568" t="s">
        <v>1504</v>
      </c>
      <c r="I568">
        <v>289</v>
      </c>
      <c r="J568" t="s">
        <v>1505</v>
      </c>
      <c r="K568">
        <v>1931815</v>
      </c>
    </row>
    <row r="569" spans="4:11" x14ac:dyDescent="0.25">
      <c r="D569">
        <v>3</v>
      </c>
      <c r="E569" t="s">
        <v>31</v>
      </c>
      <c r="F569" t="s">
        <v>1506</v>
      </c>
      <c r="G569">
        <v>110</v>
      </c>
      <c r="H569" t="s">
        <v>1507</v>
      </c>
      <c r="I569">
        <v>52</v>
      </c>
      <c r="J569" t="s">
        <v>1508</v>
      </c>
      <c r="K569">
        <v>1932851</v>
      </c>
    </row>
    <row r="570" spans="4:11" x14ac:dyDescent="0.25">
      <c r="D570">
        <v>3</v>
      </c>
      <c r="E570" t="s">
        <v>39</v>
      </c>
      <c r="F570" t="s">
        <v>1509</v>
      </c>
      <c r="G570">
        <v>66</v>
      </c>
      <c r="H570" t="s">
        <v>1510</v>
      </c>
      <c r="I570">
        <v>86</v>
      </c>
      <c r="J570" t="s">
        <v>1511</v>
      </c>
      <c r="K570">
        <v>1934790</v>
      </c>
    </row>
    <row r="571" spans="4:11" x14ac:dyDescent="0.25">
      <c r="D571">
        <v>3</v>
      </c>
      <c r="E571" t="s">
        <v>107</v>
      </c>
      <c r="F571" t="s">
        <v>1512</v>
      </c>
      <c r="G571">
        <v>109</v>
      </c>
      <c r="H571" t="s">
        <v>1513</v>
      </c>
      <c r="I571">
        <v>176</v>
      </c>
      <c r="J571" t="s">
        <v>1514</v>
      </c>
      <c r="K571">
        <v>1935410</v>
      </c>
    </row>
    <row r="572" spans="4:11" x14ac:dyDescent="0.25">
      <c r="D572">
        <v>3</v>
      </c>
      <c r="E572" t="s">
        <v>50</v>
      </c>
      <c r="F572" t="s">
        <v>1515</v>
      </c>
      <c r="G572">
        <v>223</v>
      </c>
      <c r="H572" t="s">
        <v>1516</v>
      </c>
      <c r="I572">
        <v>24</v>
      </c>
      <c r="J572" t="s">
        <v>1517</v>
      </c>
      <c r="K572">
        <v>1937531</v>
      </c>
    </row>
    <row r="573" spans="4:11" x14ac:dyDescent="0.25">
      <c r="D573">
        <v>3</v>
      </c>
      <c r="E573" t="s">
        <v>64</v>
      </c>
      <c r="F573" t="s">
        <v>1518</v>
      </c>
      <c r="G573">
        <v>108</v>
      </c>
      <c r="H573" t="s">
        <v>1519</v>
      </c>
      <c r="I573">
        <v>322</v>
      </c>
      <c r="J573" t="s">
        <v>1518</v>
      </c>
      <c r="K573">
        <v>1939709</v>
      </c>
    </row>
    <row r="574" spans="4:11" x14ac:dyDescent="0.25">
      <c r="D574">
        <v>3</v>
      </c>
      <c r="E574" t="s">
        <v>50</v>
      </c>
      <c r="F574" t="s">
        <v>1520</v>
      </c>
      <c r="G574">
        <v>108</v>
      </c>
      <c r="H574" t="s">
        <v>1521</v>
      </c>
      <c r="I574">
        <v>318</v>
      </c>
      <c r="J574" t="s">
        <v>1520</v>
      </c>
      <c r="K574">
        <v>1939712</v>
      </c>
    </row>
    <row r="575" spans="4:11" x14ac:dyDescent="0.25">
      <c r="D575">
        <v>3</v>
      </c>
      <c r="E575" t="s">
        <v>39</v>
      </c>
      <c r="F575" t="s">
        <v>1522</v>
      </c>
      <c r="G575">
        <v>13</v>
      </c>
      <c r="H575" t="s">
        <v>1523</v>
      </c>
      <c r="I575">
        <v>56</v>
      </c>
      <c r="J575" t="s">
        <v>1524</v>
      </c>
      <c r="K575">
        <v>1939763</v>
      </c>
    </row>
    <row r="576" spans="4:11" x14ac:dyDescent="0.25">
      <c r="D576">
        <v>3</v>
      </c>
      <c r="E576" t="s">
        <v>255</v>
      </c>
      <c r="F576" t="s">
        <v>1525</v>
      </c>
      <c r="G576">
        <v>13</v>
      </c>
      <c r="H576" t="s">
        <v>1526</v>
      </c>
      <c r="I576">
        <v>65</v>
      </c>
      <c r="J576" t="s">
        <v>1527</v>
      </c>
      <c r="K576">
        <v>1939791</v>
      </c>
    </row>
    <row r="577" spans="4:11" x14ac:dyDescent="0.25">
      <c r="D577">
        <v>3</v>
      </c>
      <c r="E577" t="s">
        <v>50</v>
      </c>
      <c r="F577" t="s">
        <v>1528</v>
      </c>
      <c r="G577">
        <v>13</v>
      </c>
      <c r="H577" t="s">
        <v>1529</v>
      </c>
      <c r="I577">
        <v>38</v>
      </c>
      <c r="J577" t="s">
        <v>1530</v>
      </c>
      <c r="K577">
        <v>1939824</v>
      </c>
    </row>
    <row r="578" spans="4:11" x14ac:dyDescent="0.25">
      <c r="D578">
        <v>3</v>
      </c>
      <c r="E578" t="s">
        <v>24</v>
      </c>
      <c r="F578" t="s">
        <v>1531</v>
      </c>
      <c r="G578">
        <v>13</v>
      </c>
      <c r="H578" t="s">
        <v>1532</v>
      </c>
      <c r="I578">
        <v>112</v>
      </c>
      <c r="J578" t="s">
        <v>1533</v>
      </c>
      <c r="K578">
        <v>1940118</v>
      </c>
    </row>
    <row r="579" spans="4:11" x14ac:dyDescent="0.25">
      <c r="D579">
        <v>3</v>
      </c>
      <c r="E579" t="s">
        <v>54</v>
      </c>
      <c r="F579" t="s">
        <v>1534</v>
      </c>
      <c r="G579">
        <v>13</v>
      </c>
      <c r="H579" t="s">
        <v>1535</v>
      </c>
      <c r="I579">
        <v>93</v>
      </c>
      <c r="J579" t="s">
        <v>1536</v>
      </c>
      <c r="K579">
        <v>1940134</v>
      </c>
    </row>
    <row r="580" spans="4:11" x14ac:dyDescent="0.25">
      <c r="D580">
        <v>3</v>
      </c>
      <c r="E580" t="s">
        <v>54</v>
      </c>
      <c r="F580" t="s">
        <v>1537</v>
      </c>
      <c r="G580">
        <v>13</v>
      </c>
      <c r="H580" t="s">
        <v>1538</v>
      </c>
      <c r="I580">
        <v>82</v>
      </c>
      <c r="J580" t="s">
        <v>1539</v>
      </c>
      <c r="K580">
        <v>1940136</v>
      </c>
    </row>
    <row r="581" spans="4:11" x14ac:dyDescent="0.25">
      <c r="D581">
        <v>3</v>
      </c>
      <c r="E581" t="s">
        <v>31</v>
      </c>
      <c r="F581" t="s">
        <v>1540</v>
      </c>
      <c r="G581">
        <v>13</v>
      </c>
      <c r="H581" t="s">
        <v>1541</v>
      </c>
      <c r="I581">
        <v>124</v>
      </c>
      <c r="J581" t="s">
        <v>1542</v>
      </c>
      <c r="K581">
        <v>1940262</v>
      </c>
    </row>
    <row r="582" spans="4:11" x14ac:dyDescent="0.25">
      <c r="D582">
        <v>3</v>
      </c>
      <c r="E582" t="s">
        <v>35</v>
      </c>
      <c r="F582" t="s">
        <v>1543</v>
      </c>
      <c r="G582">
        <v>61</v>
      </c>
      <c r="H582" t="s">
        <v>1544</v>
      </c>
      <c r="I582">
        <v>304</v>
      </c>
      <c r="J582" t="s">
        <v>1545</v>
      </c>
      <c r="K582">
        <v>1940300</v>
      </c>
    </row>
    <row r="583" spans="4:11" x14ac:dyDescent="0.25">
      <c r="D583">
        <v>3</v>
      </c>
      <c r="E583" t="s">
        <v>16</v>
      </c>
      <c r="F583" t="s">
        <v>1546</v>
      </c>
      <c r="G583">
        <v>61</v>
      </c>
      <c r="H583" t="s">
        <v>1547</v>
      </c>
      <c r="I583">
        <v>305</v>
      </c>
      <c r="J583" t="s">
        <v>1548</v>
      </c>
      <c r="K583">
        <v>1940308</v>
      </c>
    </row>
    <row r="584" spans="4:11" x14ac:dyDescent="0.25">
      <c r="D584">
        <v>3</v>
      </c>
      <c r="E584" t="s">
        <v>20</v>
      </c>
      <c r="F584" t="s">
        <v>1549</v>
      </c>
      <c r="G584">
        <v>125</v>
      </c>
      <c r="H584" t="s">
        <v>1550</v>
      </c>
      <c r="I584">
        <v>195</v>
      </c>
      <c r="J584" t="s">
        <v>1551</v>
      </c>
      <c r="K584">
        <v>1941956</v>
      </c>
    </row>
    <row r="585" spans="4:11" x14ac:dyDescent="0.25">
      <c r="D585">
        <v>3</v>
      </c>
      <c r="E585" t="s">
        <v>39</v>
      </c>
      <c r="F585" t="s">
        <v>1552</v>
      </c>
      <c r="G585">
        <v>60</v>
      </c>
      <c r="H585" t="s">
        <v>1553</v>
      </c>
      <c r="I585">
        <v>85</v>
      </c>
      <c r="J585" t="s">
        <v>1554</v>
      </c>
      <c r="K585">
        <v>1943368</v>
      </c>
    </row>
    <row r="586" spans="4:11" x14ac:dyDescent="0.25">
      <c r="D586">
        <v>3</v>
      </c>
      <c r="E586" t="s">
        <v>255</v>
      </c>
      <c r="F586" t="s">
        <v>1555</v>
      </c>
      <c r="G586">
        <v>165</v>
      </c>
      <c r="H586" t="s">
        <v>1556</v>
      </c>
      <c r="I586">
        <v>173</v>
      </c>
      <c r="J586" t="s">
        <v>1557</v>
      </c>
      <c r="K586">
        <v>1943504</v>
      </c>
    </row>
    <row r="587" spans="4:11" x14ac:dyDescent="0.25">
      <c r="D587">
        <v>3</v>
      </c>
      <c r="E587" t="s">
        <v>12</v>
      </c>
      <c r="F587" t="s">
        <v>1558</v>
      </c>
      <c r="G587">
        <v>172</v>
      </c>
      <c r="H587" t="s">
        <v>1559</v>
      </c>
      <c r="I587">
        <v>116</v>
      </c>
      <c r="J587" t="s">
        <v>1560</v>
      </c>
      <c r="K587">
        <v>1943604</v>
      </c>
    </row>
    <row r="588" spans="4:11" x14ac:dyDescent="0.25">
      <c r="D588">
        <v>3</v>
      </c>
      <c r="E588" t="s">
        <v>50</v>
      </c>
      <c r="F588" t="s">
        <v>1561</v>
      </c>
      <c r="G588">
        <v>159</v>
      </c>
      <c r="H588" t="s">
        <v>1562</v>
      </c>
      <c r="I588">
        <v>207</v>
      </c>
      <c r="J588" t="s">
        <v>1563</v>
      </c>
      <c r="K588">
        <v>1944316</v>
      </c>
    </row>
    <row r="589" spans="4:11" x14ac:dyDescent="0.25">
      <c r="D589">
        <v>3</v>
      </c>
      <c r="E589" t="s">
        <v>31</v>
      </c>
      <c r="F589" t="s">
        <v>1564</v>
      </c>
      <c r="G589">
        <v>153</v>
      </c>
      <c r="H589" t="s">
        <v>1565</v>
      </c>
      <c r="I589">
        <v>132</v>
      </c>
      <c r="J589" t="s">
        <v>1566</v>
      </c>
      <c r="K589">
        <v>1945080</v>
      </c>
    </row>
    <row r="590" spans="4:11" x14ac:dyDescent="0.25">
      <c r="D590">
        <v>3</v>
      </c>
      <c r="E590" t="s">
        <v>107</v>
      </c>
      <c r="F590" t="s">
        <v>1567</v>
      </c>
      <c r="G590">
        <v>42</v>
      </c>
      <c r="H590" t="s">
        <v>1568</v>
      </c>
      <c r="I590">
        <v>250</v>
      </c>
      <c r="J590" t="s">
        <v>1567</v>
      </c>
      <c r="K590">
        <v>1945125</v>
      </c>
    </row>
    <row r="591" spans="4:11" x14ac:dyDescent="0.25">
      <c r="D591">
        <v>3</v>
      </c>
      <c r="E591" t="s">
        <v>255</v>
      </c>
      <c r="F591" t="s">
        <v>1567</v>
      </c>
      <c r="G591">
        <v>42</v>
      </c>
      <c r="H591" t="s">
        <v>1568</v>
      </c>
      <c r="I591">
        <v>251</v>
      </c>
      <c r="J591" t="s">
        <v>1567</v>
      </c>
      <c r="K591">
        <v>1945125</v>
      </c>
    </row>
    <row r="592" spans="4:11" x14ac:dyDescent="0.25">
      <c r="D592">
        <v>3</v>
      </c>
      <c r="E592" t="s">
        <v>39</v>
      </c>
      <c r="F592" t="s">
        <v>1567</v>
      </c>
      <c r="G592">
        <v>42</v>
      </c>
      <c r="H592" t="s">
        <v>1568</v>
      </c>
      <c r="I592">
        <v>240</v>
      </c>
      <c r="J592" t="s">
        <v>1567</v>
      </c>
      <c r="K592">
        <v>1945125</v>
      </c>
    </row>
    <row r="593" spans="4:11" x14ac:dyDescent="0.25">
      <c r="D593">
        <v>3</v>
      </c>
      <c r="E593" t="s">
        <v>155</v>
      </c>
      <c r="F593" t="s">
        <v>1569</v>
      </c>
      <c r="G593">
        <v>42</v>
      </c>
      <c r="H593" t="s">
        <v>1570</v>
      </c>
      <c r="I593">
        <v>269</v>
      </c>
      <c r="J593" t="s">
        <v>1569</v>
      </c>
      <c r="K593">
        <v>1945186</v>
      </c>
    </row>
    <row r="594" spans="4:11" x14ac:dyDescent="0.25">
      <c r="D594">
        <v>3</v>
      </c>
      <c r="E594" t="s">
        <v>183</v>
      </c>
      <c r="F594" t="s">
        <v>1571</v>
      </c>
      <c r="G594">
        <v>93</v>
      </c>
      <c r="H594" t="s">
        <v>1572</v>
      </c>
      <c r="I594">
        <v>148</v>
      </c>
      <c r="J594" t="s">
        <v>1573</v>
      </c>
      <c r="K594">
        <v>1946375</v>
      </c>
    </row>
    <row r="595" spans="4:11" x14ac:dyDescent="0.25">
      <c r="D595">
        <v>3</v>
      </c>
      <c r="E595" t="s">
        <v>16</v>
      </c>
      <c r="F595" t="s">
        <v>1574</v>
      </c>
      <c r="G595">
        <v>15</v>
      </c>
      <c r="H595" t="s">
        <v>1575</v>
      </c>
      <c r="I595">
        <v>329</v>
      </c>
      <c r="J595" t="s">
        <v>1576</v>
      </c>
      <c r="K595">
        <v>1947172</v>
      </c>
    </row>
    <row r="596" spans="4:11" x14ac:dyDescent="0.25">
      <c r="D596">
        <v>3</v>
      </c>
      <c r="E596" t="s">
        <v>50</v>
      </c>
      <c r="F596" t="s">
        <v>1577</v>
      </c>
      <c r="G596">
        <v>207</v>
      </c>
      <c r="H596" t="s">
        <v>1578</v>
      </c>
      <c r="I596">
        <v>280</v>
      </c>
      <c r="J596" t="s">
        <v>1579</v>
      </c>
      <c r="K596">
        <v>1947736</v>
      </c>
    </row>
    <row r="597" spans="4:11" x14ac:dyDescent="0.25">
      <c r="D597">
        <v>3</v>
      </c>
      <c r="E597" t="s">
        <v>20</v>
      </c>
      <c r="F597" t="s">
        <v>1580</v>
      </c>
      <c r="G597">
        <v>30</v>
      </c>
      <c r="H597" t="s">
        <v>1581</v>
      </c>
      <c r="I597">
        <v>91</v>
      </c>
      <c r="J597" t="s">
        <v>1582</v>
      </c>
      <c r="K597">
        <v>1952540</v>
      </c>
    </row>
    <row r="598" spans="4:11" x14ac:dyDescent="0.25">
      <c r="D598">
        <v>3</v>
      </c>
      <c r="E598" t="s">
        <v>107</v>
      </c>
      <c r="F598" t="s">
        <v>1583</v>
      </c>
      <c r="G598">
        <v>30</v>
      </c>
      <c r="H598" t="s">
        <v>1584</v>
      </c>
      <c r="I598">
        <v>169</v>
      </c>
      <c r="J598" t="s">
        <v>1585</v>
      </c>
      <c r="K598">
        <v>1953817</v>
      </c>
    </row>
    <row r="599" spans="4:11" x14ac:dyDescent="0.25">
      <c r="D599">
        <v>3</v>
      </c>
      <c r="E599" t="s">
        <v>255</v>
      </c>
      <c r="F599" t="s">
        <v>1586</v>
      </c>
      <c r="G599">
        <v>66</v>
      </c>
      <c r="H599" t="s">
        <v>1587</v>
      </c>
      <c r="I599">
        <v>96</v>
      </c>
      <c r="J599" t="s">
        <v>1588</v>
      </c>
      <c r="K599">
        <v>1953935</v>
      </c>
    </row>
    <row r="600" spans="4:11" x14ac:dyDescent="0.25">
      <c r="D600">
        <v>3</v>
      </c>
      <c r="E600" t="s">
        <v>50</v>
      </c>
      <c r="F600" t="s">
        <v>1589</v>
      </c>
      <c r="G600">
        <v>30</v>
      </c>
      <c r="H600" t="s">
        <v>1590</v>
      </c>
      <c r="I600">
        <v>233</v>
      </c>
      <c r="J600" t="s">
        <v>1591</v>
      </c>
      <c r="K600">
        <v>1955669</v>
      </c>
    </row>
    <row r="601" spans="4:11" x14ac:dyDescent="0.25">
      <c r="D601">
        <v>3</v>
      </c>
      <c r="E601" t="s">
        <v>107</v>
      </c>
      <c r="F601" t="s">
        <v>1592</v>
      </c>
      <c r="G601">
        <v>30</v>
      </c>
      <c r="H601" t="s">
        <v>1593</v>
      </c>
      <c r="I601">
        <v>230</v>
      </c>
      <c r="J601" t="s">
        <v>1594</v>
      </c>
      <c r="K601">
        <v>1955689</v>
      </c>
    </row>
    <row r="602" spans="4:11" x14ac:dyDescent="0.25">
      <c r="D602">
        <v>3</v>
      </c>
      <c r="E602" t="s">
        <v>43</v>
      </c>
      <c r="F602" t="s">
        <v>1595</v>
      </c>
      <c r="G602">
        <v>30</v>
      </c>
      <c r="H602" t="s">
        <v>1596</v>
      </c>
      <c r="I602">
        <v>238</v>
      </c>
      <c r="J602" t="s">
        <v>1597</v>
      </c>
      <c r="K602">
        <v>1955778</v>
      </c>
    </row>
    <row r="603" spans="4:11" x14ac:dyDescent="0.25">
      <c r="D603">
        <v>3</v>
      </c>
      <c r="E603" t="s">
        <v>54</v>
      </c>
      <c r="F603" t="s">
        <v>1598</v>
      </c>
      <c r="G603">
        <v>30</v>
      </c>
      <c r="H603" t="s">
        <v>1599</v>
      </c>
      <c r="I603">
        <v>281</v>
      </c>
      <c r="J603" t="s">
        <v>1600</v>
      </c>
      <c r="K603">
        <v>1955815</v>
      </c>
    </row>
    <row r="604" spans="4:11" x14ac:dyDescent="0.25">
      <c r="D604">
        <v>3</v>
      </c>
      <c r="E604" t="s">
        <v>16</v>
      </c>
      <c r="F604" t="s">
        <v>1601</v>
      </c>
      <c r="G604">
        <v>77</v>
      </c>
      <c r="H604" t="s">
        <v>1602</v>
      </c>
      <c r="I604">
        <v>49</v>
      </c>
      <c r="J604" t="s">
        <v>1603</v>
      </c>
      <c r="K604">
        <v>1956840</v>
      </c>
    </row>
    <row r="605" spans="4:11" x14ac:dyDescent="0.25">
      <c r="D605">
        <v>3</v>
      </c>
      <c r="E605" t="s">
        <v>8</v>
      </c>
      <c r="F605" t="s">
        <v>1604</v>
      </c>
      <c r="G605">
        <v>86</v>
      </c>
      <c r="H605" t="s">
        <v>1605</v>
      </c>
      <c r="I605">
        <v>219</v>
      </c>
      <c r="J605" t="s">
        <v>1606</v>
      </c>
      <c r="K605">
        <v>1958970</v>
      </c>
    </row>
    <row r="606" spans="4:11" x14ac:dyDescent="0.25">
      <c r="D606">
        <v>3</v>
      </c>
      <c r="E606" t="s">
        <v>12</v>
      </c>
      <c r="F606" t="s">
        <v>1607</v>
      </c>
      <c r="G606">
        <v>193</v>
      </c>
      <c r="H606" t="s">
        <v>1608</v>
      </c>
      <c r="I606">
        <v>98</v>
      </c>
      <c r="J606" t="s">
        <v>1609</v>
      </c>
      <c r="K606">
        <v>1961080</v>
      </c>
    </row>
    <row r="607" spans="4:11" x14ac:dyDescent="0.25">
      <c r="D607">
        <v>3</v>
      </c>
      <c r="E607" t="s">
        <v>43</v>
      </c>
      <c r="F607" t="s">
        <v>1610</v>
      </c>
      <c r="G607">
        <v>84</v>
      </c>
      <c r="H607" t="s">
        <v>1611</v>
      </c>
      <c r="I607">
        <v>34</v>
      </c>
      <c r="J607" t="s">
        <v>1612</v>
      </c>
      <c r="K607">
        <v>1961218</v>
      </c>
    </row>
    <row r="608" spans="4:11" x14ac:dyDescent="0.25">
      <c r="D608">
        <v>3</v>
      </c>
      <c r="E608" t="s">
        <v>39</v>
      </c>
      <c r="F608" t="s">
        <v>1613</v>
      </c>
      <c r="G608">
        <v>84</v>
      </c>
      <c r="H608" t="s">
        <v>1614</v>
      </c>
      <c r="I608">
        <v>10</v>
      </c>
      <c r="J608" t="s">
        <v>1615</v>
      </c>
      <c r="K608">
        <v>1961314</v>
      </c>
    </row>
    <row r="609" spans="4:11" x14ac:dyDescent="0.25">
      <c r="D609">
        <v>3</v>
      </c>
      <c r="E609" t="s">
        <v>24</v>
      </c>
      <c r="F609" t="s">
        <v>1616</v>
      </c>
      <c r="G609">
        <v>84</v>
      </c>
      <c r="H609" t="s">
        <v>1617</v>
      </c>
      <c r="I609">
        <v>179</v>
      </c>
      <c r="J609" t="s">
        <v>1618</v>
      </c>
      <c r="K609">
        <v>1961318</v>
      </c>
    </row>
    <row r="610" spans="4:11" x14ac:dyDescent="0.25">
      <c r="D610">
        <v>3</v>
      </c>
      <c r="E610" t="s">
        <v>39</v>
      </c>
      <c r="F610" t="s">
        <v>1619</v>
      </c>
      <c r="G610">
        <v>108</v>
      </c>
      <c r="H610" t="s">
        <v>1620</v>
      </c>
      <c r="I610">
        <v>162</v>
      </c>
      <c r="J610" t="s">
        <v>1619</v>
      </c>
      <c r="K610">
        <v>1961406</v>
      </c>
    </row>
    <row r="611" spans="4:11" x14ac:dyDescent="0.25">
      <c r="D611">
        <v>3</v>
      </c>
      <c r="E611" t="s">
        <v>16</v>
      </c>
      <c r="F611" t="s">
        <v>1621</v>
      </c>
      <c r="G611">
        <v>5</v>
      </c>
      <c r="H611" t="s">
        <v>1622</v>
      </c>
      <c r="I611">
        <v>25</v>
      </c>
      <c r="J611" t="s">
        <v>1623</v>
      </c>
      <c r="K611">
        <v>1963520</v>
      </c>
    </row>
    <row r="612" spans="4:11" x14ac:dyDescent="0.25">
      <c r="D612">
        <v>3</v>
      </c>
      <c r="E612" t="s">
        <v>35</v>
      </c>
      <c r="F612" t="s">
        <v>1624</v>
      </c>
      <c r="G612">
        <v>84</v>
      </c>
      <c r="H612" t="s">
        <v>1625</v>
      </c>
      <c r="I612">
        <v>327</v>
      </c>
      <c r="J612" t="s">
        <v>1626</v>
      </c>
      <c r="K612">
        <v>1963800</v>
      </c>
    </row>
    <row r="613" spans="4:11" x14ac:dyDescent="0.25">
      <c r="D613">
        <v>3</v>
      </c>
      <c r="E613" t="s">
        <v>54</v>
      </c>
      <c r="F613" t="s">
        <v>1627</v>
      </c>
      <c r="G613">
        <v>37</v>
      </c>
      <c r="H613" t="s">
        <v>1628</v>
      </c>
      <c r="I613">
        <v>285</v>
      </c>
      <c r="J613" t="s">
        <v>1629</v>
      </c>
      <c r="K613">
        <v>1966505</v>
      </c>
    </row>
    <row r="614" spans="4:11" x14ac:dyDescent="0.25">
      <c r="D614">
        <v>3</v>
      </c>
      <c r="E614" t="s">
        <v>24</v>
      </c>
      <c r="F614" t="s">
        <v>1630</v>
      </c>
      <c r="G614">
        <v>37</v>
      </c>
      <c r="H614" t="s">
        <v>1631</v>
      </c>
      <c r="I614">
        <v>268</v>
      </c>
      <c r="J614" t="s">
        <v>1632</v>
      </c>
      <c r="K614">
        <v>1967058</v>
      </c>
    </row>
    <row r="615" spans="4:11" x14ac:dyDescent="0.25">
      <c r="D615">
        <v>3</v>
      </c>
      <c r="E615" t="s">
        <v>20</v>
      </c>
      <c r="F615" t="s">
        <v>1630</v>
      </c>
      <c r="G615">
        <v>37</v>
      </c>
      <c r="H615" t="s">
        <v>1631</v>
      </c>
      <c r="I615">
        <v>267</v>
      </c>
      <c r="J615" t="s">
        <v>1632</v>
      </c>
      <c r="K615">
        <v>1967058</v>
      </c>
    </row>
    <row r="616" spans="4:11" x14ac:dyDescent="0.25">
      <c r="D616">
        <v>3</v>
      </c>
      <c r="E616" t="s">
        <v>155</v>
      </c>
      <c r="F616" t="s">
        <v>1633</v>
      </c>
      <c r="G616">
        <v>37</v>
      </c>
      <c r="H616" t="s">
        <v>1634</v>
      </c>
      <c r="I616">
        <v>247</v>
      </c>
      <c r="J616" t="s">
        <v>1635</v>
      </c>
      <c r="K616">
        <v>1967104</v>
      </c>
    </row>
    <row r="617" spans="4:11" x14ac:dyDescent="0.25">
      <c r="D617">
        <v>3</v>
      </c>
      <c r="E617" t="s">
        <v>24</v>
      </c>
      <c r="F617" t="s">
        <v>1636</v>
      </c>
      <c r="G617">
        <v>13</v>
      </c>
      <c r="H617" t="s">
        <v>1637</v>
      </c>
      <c r="I617">
        <v>225</v>
      </c>
      <c r="J617" t="s">
        <v>1638</v>
      </c>
      <c r="K617">
        <v>1967454</v>
      </c>
    </row>
    <row r="618" spans="4:11" x14ac:dyDescent="0.25">
      <c r="D618">
        <v>3</v>
      </c>
      <c r="E618" t="s">
        <v>54</v>
      </c>
      <c r="F618" t="s">
        <v>1639</v>
      </c>
      <c r="G618">
        <v>147</v>
      </c>
      <c r="H618" t="s">
        <v>1640</v>
      </c>
      <c r="I618">
        <v>210</v>
      </c>
      <c r="J618" t="s">
        <v>1641</v>
      </c>
      <c r="K618">
        <v>1970517</v>
      </c>
    </row>
    <row r="619" spans="4:11" x14ac:dyDescent="0.25">
      <c r="D619">
        <v>3</v>
      </c>
      <c r="E619" t="s">
        <v>12</v>
      </c>
      <c r="F619" t="s">
        <v>1642</v>
      </c>
      <c r="G619">
        <v>77</v>
      </c>
      <c r="H619" t="s">
        <v>1643</v>
      </c>
      <c r="I619">
        <v>143</v>
      </c>
      <c r="J619" t="s">
        <v>1644</v>
      </c>
      <c r="K619">
        <v>1970898</v>
      </c>
    </row>
    <row r="620" spans="4:11" x14ac:dyDescent="0.25">
      <c r="D620">
        <v>3</v>
      </c>
      <c r="E620" t="s">
        <v>39</v>
      </c>
      <c r="F620" t="s">
        <v>1645</v>
      </c>
      <c r="G620">
        <v>77</v>
      </c>
      <c r="H620" t="s">
        <v>1646</v>
      </c>
      <c r="I620">
        <v>145</v>
      </c>
      <c r="J620" t="s">
        <v>1647</v>
      </c>
      <c r="K620">
        <v>1970905</v>
      </c>
    </row>
    <row r="621" spans="4:11" x14ac:dyDescent="0.25">
      <c r="D621">
        <v>3</v>
      </c>
      <c r="E621" t="s">
        <v>54</v>
      </c>
      <c r="F621" t="s">
        <v>1648</v>
      </c>
      <c r="G621">
        <v>147</v>
      </c>
      <c r="H621" t="s">
        <v>1649</v>
      </c>
      <c r="I621">
        <v>55</v>
      </c>
      <c r="J621" t="s">
        <v>1650</v>
      </c>
      <c r="K621">
        <v>1972078</v>
      </c>
    </row>
    <row r="622" spans="4:11" x14ac:dyDescent="0.25">
      <c r="D622">
        <v>3</v>
      </c>
      <c r="E622" t="s">
        <v>43</v>
      </c>
      <c r="F622" t="s">
        <v>498</v>
      </c>
      <c r="G622">
        <v>147</v>
      </c>
      <c r="H622" t="s">
        <v>499</v>
      </c>
      <c r="I622">
        <v>50</v>
      </c>
      <c r="J622" t="s">
        <v>500</v>
      </c>
      <c r="K622">
        <v>1972105</v>
      </c>
    </row>
    <row r="623" spans="4:11" x14ac:dyDescent="0.25">
      <c r="D623">
        <v>3</v>
      </c>
      <c r="E623" t="s">
        <v>35</v>
      </c>
      <c r="F623" t="s">
        <v>498</v>
      </c>
      <c r="G623">
        <v>147</v>
      </c>
      <c r="H623" t="s">
        <v>499</v>
      </c>
      <c r="I623">
        <v>51</v>
      </c>
      <c r="J623" t="s">
        <v>500</v>
      </c>
      <c r="K623">
        <v>1972105</v>
      </c>
    </row>
    <row r="624" spans="4:11" x14ac:dyDescent="0.25">
      <c r="D624">
        <v>3</v>
      </c>
      <c r="E624" t="s">
        <v>39</v>
      </c>
      <c r="F624" t="s">
        <v>1651</v>
      </c>
      <c r="G624">
        <v>37</v>
      </c>
      <c r="H624" t="s">
        <v>1652</v>
      </c>
      <c r="I624">
        <v>83</v>
      </c>
      <c r="J624" t="s">
        <v>1653</v>
      </c>
      <c r="K624">
        <v>1972293</v>
      </c>
    </row>
    <row r="625" spans="4:11" x14ac:dyDescent="0.25">
      <c r="D625">
        <v>3</v>
      </c>
      <c r="E625" t="s">
        <v>255</v>
      </c>
      <c r="F625" t="s">
        <v>1654</v>
      </c>
      <c r="G625">
        <v>147</v>
      </c>
      <c r="H625" t="s">
        <v>1655</v>
      </c>
      <c r="I625">
        <v>249</v>
      </c>
      <c r="J625" t="s">
        <v>1656</v>
      </c>
      <c r="K625">
        <v>1972525</v>
      </c>
    </row>
    <row r="626" spans="4:11" x14ac:dyDescent="0.25">
      <c r="D626">
        <v>3</v>
      </c>
      <c r="E626" t="s">
        <v>24</v>
      </c>
      <c r="F626" t="s">
        <v>1657</v>
      </c>
      <c r="G626">
        <v>147</v>
      </c>
      <c r="H626" t="s">
        <v>1658</v>
      </c>
      <c r="I626">
        <v>266</v>
      </c>
      <c r="J626" t="s">
        <v>1659</v>
      </c>
      <c r="K626">
        <v>1972545</v>
      </c>
    </row>
    <row r="627" spans="4:11" x14ac:dyDescent="0.25">
      <c r="D627">
        <v>3</v>
      </c>
      <c r="E627" t="s">
        <v>155</v>
      </c>
      <c r="F627" t="s">
        <v>1660</v>
      </c>
      <c r="G627">
        <v>37</v>
      </c>
      <c r="H627" t="s">
        <v>1661</v>
      </c>
      <c r="I627">
        <v>294</v>
      </c>
      <c r="J627" t="s">
        <v>1662</v>
      </c>
      <c r="K627">
        <v>1973102</v>
      </c>
    </row>
    <row r="628" spans="4:11" x14ac:dyDescent="0.25">
      <c r="D628">
        <v>3</v>
      </c>
      <c r="E628" t="s">
        <v>107</v>
      </c>
      <c r="F628" t="s">
        <v>1663</v>
      </c>
      <c r="G628">
        <v>37</v>
      </c>
      <c r="H628" t="s">
        <v>1664</v>
      </c>
      <c r="I628">
        <v>149</v>
      </c>
      <c r="J628" t="s">
        <v>1665</v>
      </c>
      <c r="K628">
        <v>1973213</v>
      </c>
    </row>
    <row r="629" spans="4:11" x14ac:dyDescent="0.25">
      <c r="D629">
        <v>3</v>
      </c>
      <c r="E629" t="s">
        <v>50</v>
      </c>
      <c r="F629" t="s">
        <v>1666</v>
      </c>
      <c r="G629">
        <v>37</v>
      </c>
      <c r="H629" t="s">
        <v>1667</v>
      </c>
      <c r="I629">
        <v>57</v>
      </c>
      <c r="J629" t="s">
        <v>1668</v>
      </c>
      <c r="K629">
        <v>1974216</v>
      </c>
    </row>
    <row r="630" spans="4:11" x14ac:dyDescent="0.25">
      <c r="D630">
        <v>3</v>
      </c>
      <c r="E630" t="s">
        <v>155</v>
      </c>
      <c r="F630" t="s">
        <v>1669</v>
      </c>
      <c r="G630">
        <v>191</v>
      </c>
      <c r="H630" t="s">
        <v>1670</v>
      </c>
      <c r="I630">
        <v>114</v>
      </c>
      <c r="J630" t="s">
        <v>1671</v>
      </c>
      <c r="K630">
        <v>1976480</v>
      </c>
    </row>
    <row r="631" spans="4:11" x14ac:dyDescent="0.25">
      <c r="D631">
        <v>3</v>
      </c>
      <c r="E631" t="s">
        <v>12</v>
      </c>
      <c r="F631" t="s">
        <v>1672</v>
      </c>
      <c r="G631">
        <v>191</v>
      </c>
      <c r="H631" t="s">
        <v>1673</v>
      </c>
      <c r="I631">
        <v>221</v>
      </c>
      <c r="J631" t="s">
        <v>1674</v>
      </c>
      <c r="K631">
        <v>1976545</v>
      </c>
    </row>
    <row r="632" spans="4:11" x14ac:dyDescent="0.25">
      <c r="D632">
        <v>3</v>
      </c>
      <c r="E632" t="s">
        <v>255</v>
      </c>
      <c r="F632" t="s">
        <v>1675</v>
      </c>
      <c r="G632">
        <v>191</v>
      </c>
      <c r="H632" t="s">
        <v>1676</v>
      </c>
      <c r="I632">
        <v>264</v>
      </c>
      <c r="J632" t="s">
        <v>1677</v>
      </c>
      <c r="K632">
        <v>1977754</v>
      </c>
    </row>
    <row r="633" spans="4:11" x14ac:dyDescent="0.25">
      <c r="D633">
        <v>3</v>
      </c>
      <c r="E633" t="s">
        <v>64</v>
      </c>
      <c r="F633" t="s">
        <v>1678</v>
      </c>
      <c r="G633">
        <v>160</v>
      </c>
      <c r="H633" t="s">
        <v>1679</v>
      </c>
      <c r="I633">
        <v>88</v>
      </c>
      <c r="J633" t="s">
        <v>1680</v>
      </c>
      <c r="K633">
        <v>1979870</v>
      </c>
    </row>
    <row r="634" spans="4:11" x14ac:dyDescent="0.25">
      <c r="D634">
        <v>3</v>
      </c>
      <c r="E634" t="s">
        <v>50</v>
      </c>
      <c r="F634" t="s">
        <v>1681</v>
      </c>
      <c r="G634">
        <v>160</v>
      </c>
      <c r="H634" t="s">
        <v>1682</v>
      </c>
      <c r="I634">
        <v>90</v>
      </c>
      <c r="J634" t="s">
        <v>1683</v>
      </c>
      <c r="K634">
        <v>1979904</v>
      </c>
    </row>
    <row r="635" spans="4:11" x14ac:dyDescent="0.25">
      <c r="D635">
        <v>3</v>
      </c>
      <c r="E635" t="s">
        <v>64</v>
      </c>
      <c r="F635" t="s">
        <v>1684</v>
      </c>
      <c r="G635">
        <v>166</v>
      </c>
      <c r="H635" t="s">
        <v>1685</v>
      </c>
      <c r="I635">
        <v>135</v>
      </c>
      <c r="J635" t="s">
        <v>1684</v>
      </c>
      <c r="K635">
        <v>1980115</v>
      </c>
    </row>
    <row r="636" spans="4:11" x14ac:dyDescent="0.25">
      <c r="D636">
        <v>3</v>
      </c>
      <c r="E636" t="s">
        <v>39</v>
      </c>
      <c r="F636" t="s">
        <v>1686</v>
      </c>
      <c r="G636">
        <v>166</v>
      </c>
      <c r="H636" t="s">
        <v>1687</v>
      </c>
      <c r="I636">
        <v>89</v>
      </c>
      <c r="J636" t="s">
        <v>1686</v>
      </c>
      <c r="K636">
        <v>1980125</v>
      </c>
    </row>
    <row r="637" spans="4:11" x14ac:dyDescent="0.25">
      <c r="D637">
        <v>3</v>
      </c>
      <c r="E637" t="s">
        <v>54</v>
      </c>
      <c r="F637" t="s">
        <v>1688</v>
      </c>
      <c r="G637">
        <v>166</v>
      </c>
      <c r="H637" t="s">
        <v>1689</v>
      </c>
      <c r="I637">
        <v>319</v>
      </c>
      <c r="J637" t="s">
        <v>1688</v>
      </c>
      <c r="K637">
        <v>1980149</v>
      </c>
    </row>
    <row r="638" spans="4:11" x14ac:dyDescent="0.25">
      <c r="D638">
        <v>3</v>
      </c>
      <c r="E638" t="s">
        <v>64</v>
      </c>
      <c r="F638" t="s">
        <v>1690</v>
      </c>
      <c r="G638">
        <v>166</v>
      </c>
      <c r="H638" t="s">
        <v>1691</v>
      </c>
      <c r="I638">
        <v>312</v>
      </c>
      <c r="J638" t="s">
        <v>1690</v>
      </c>
      <c r="K638">
        <v>1980153</v>
      </c>
    </row>
    <row r="639" spans="4:11" x14ac:dyDescent="0.25">
      <c r="D639">
        <v>3</v>
      </c>
      <c r="E639" t="s">
        <v>54</v>
      </c>
      <c r="F639" t="s">
        <v>1692</v>
      </c>
      <c r="G639">
        <v>15</v>
      </c>
      <c r="H639" t="s">
        <v>1693</v>
      </c>
      <c r="I639">
        <v>313</v>
      </c>
      <c r="J639" t="s">
        <v>1694</v>
      </c>
      <c r="K639">
        <v>1981760</v>
      </c>
    </row>
    <row r="640" spans="4:11" x14ac:dyDescent="0.25">
      <c r="D640">
        <v>3</v>
      </c>
      <c r="E640" t="s">
        <v>31</v>
      </c>
      <c r="F640" t="s">
        <v>1695</v>
      </c>
      <c r="G640">
        <v>15</v>
      </c>
      <c r="H640" t="s">
        <v>1696</v>
      </c>
      <c r="I640">
        <v>328</v>
      </c>
      <c r="J640" t="s">
        <v>1697</v>
      </c>
      <c r="K640">
        <v>1981785</v>
      </c>
    </row>
    <row r="641" spans="4:11" x14ac:dyDescent="0.25">
      <c r="D641">
        <v>3</v>
      </c>
      <c r="E641" t="s">
        <v>54</v>
      </c>
      <c r="F641" t="s">
        <v>1698</v>
      </c>
      <c r="G641">
        <v>33</v>
      </c>
      <c r="H641" t="s">
        <v>1699</v>
      </c>
      <c r="I641">
        <v>285</v>
      </c>
      <c r="J641" t="s">
        <v>1700</v>
      </c>
      <c r="K641">
        <v>2493835</v>
      </c>
    </row>
    <row r="642" spans="4:11" x14ac:dyDescent="0.25">
      <c r="D642">
        <v>3</v>
      </c>
      <c r="E642" t="s">
        <v>16</v>
      </c>
      <c r="F642" t="s">
        <v>1701</v>
      </c>
      <c r="G642">
        <v>4</v>
      </c>
      <c r="H642" t="s">
        <v>1702</v>
      </c>
      <c r="I642">
        <v>326</v>
      </c>
      <c r="J642" t="s">
        <v>1703</v>
      </c>
      <c r="K642">
        <v>3429662</v>
      </c>
    </row>
    <row r="643" spans="4:11" x14ac:dyDescent="0.25">
      <c r="D643">
        <v>3</v>
      </c>
      <c r="E643" t="s">
        <v>183</v>
      </c>
      <c r="F643" t="s">
        <v>1704</v>
      </c>
      <c r="G643">
        <v>113</v>
      </c>
      <c r="H643" t="s">
        <v>1705</v>
      </c>
      <c r="I643">
        <v>260</v>
      </c>
      <c r="J643" t="s">
        <v>1704</v>
      </c>
      <c r="K643">
        <v>4654306</v>
      </c>
    </row>
    <row r="644" spans="4:11" x14ac:dyDescent="0.25">
      <c r="D644">
        <v>3</v>
      </c>
      <c r="E644" t="s">
        <v>50</v>
      </c>
      <c r="F644" t="s">
        <v>1706</v>
      </c>
      <c r="G644">
        <v>215</v>
      </c>
      <c r="H644" t="s">
        <v>1707</v>
      </c>
      <c r="I644">
        <v>307</v>
      </c>
      <c r="J644" t="s">
        <v>1708</v>
      </c>
      <c r="K644">
        <v>1917153</v>
      </c>
    </row>
    <row r="645" spans="4:11" x14ac:dyDescent="0.25">
      <c r="D645">
        <v>1</v>
      </c>
      <c r="E645" t="s">
        <v>35</v>
      </c>
      <c r="F645" t="s">
        <v>1709</v>
      </c>
      <c r="G645">
        <v>215</v>
      </c>
      <c r="H645" t="s">
        <v>1710</v>
      </c>
      <c r="I645">
        <v>304</v>
      </c>
      <c r="J645" t="s">
        <v>1711</v>
      </c>
      <c r="K645">
        <v>1917154</v>
      </c>
    </row>
    <row r="646" spans="4:11" x14ac:dyDescent="0.25">
      <c r="D646">
        <v>3</v>
      </c>
      <c r="E646" t="s">
        <v>35</v>
      </c>
      <c r="F646" t="s">
        <v>1712</v>
      </c>
      <c r="G646">
        <v>215</v>
      </c>
      <c r="H646" t="s">
        <v>1713</v>
      </c>
      <c r="I646">
        <v>286</v>
      </c>
      <c r="J646" t="s">
        <v>1714</v>
      </c>
      <c r="K646">
        <v>1930773</v>
      </c>
    </row>
    <row r="647" spans="4:11" x14ac:dyDescent="0.25">
      <c r="D647">
        <v>3</v>
      </c>
      <c r="E647" t="s">
        <v>8</v>
      </c>
      <c r="F647" t="s">
        <v>1715</v>
      </c>
      <c r="G647">
        <v>215</v>
      </c>
      <c r="H647" t="s">
        <v>1716</v>
      </c>
      <c r="I647">
        <v>246</v>
      </c>
      <c r="J647" t="s">
        <v>1717</v>
      </c>
      <c r="K647">
        <v>1935873</v>
      </c>
    </row>
    <row r="648" spans="4:11" x14ac:dyDescent="0.25">
      <c r="D648">
        <v>1</v>
      </c>
      <c r="E648" t="s">
        <v>255</v>
      </c>
      <c r="F648" t="s">
        <v>1718</v>
      </c>
      <c r="G648">
        <v>215</v>
      </c>
      <c r="H648" t="s">
        <v>1719</v>
      </c>
      <c r="I648">
        <v>249</v>
      </c>
      <c r="J648" t="s">
        <v>1720</v>
      </c>
      <c r="K648">
        <v>1935895</v>
      </c>
    </row>
    <row r="649" spans="4:11" x14ac:dyDescent="0.25">
      <c r="D649">
        <v>2</v>
      </c>
      <c r="E649" t="s">
        <v>20</v>
      </c>
      <c r="F649" t="s">
        <v>1718</v>
      </c>
      <c r="G649">
        <v>215</v>
      </c>
      <c r="H649" t="s">
        <v>1719</v>
      </c>
      <c r="I649">
        <v>252</v>
      </c>
      <c r="J649" t="s">
        <v>1720</v>
      </c>
      <c r="K649">
        <v>1935895</v>
      </c>
    </row>
    <row r="650" spans="4:11" x14ac:dyDescent="0.25">
      <c r="D650">
        <v>2</v>
      </c>
      <c r="E650" t="s">
        <v>107</v>
      </c>
      <c r="F650" t="s">
        <v>1721</v>
      </c>
      <c r="G650">
        <v>215</v>
      </c>
      <c r="H650" t="s">
        <v>1722</v>
      </c>
      <c r="I650">
        <v>265</v>
      </c>
      <c r="J650" t="s">
        <v>1723</v>
      </c>
      <c r="K650">
        <v>1935901</v>
      </c>
    </row>
    <row r="651" spans="4:11" x14ac:dyDescent="0.25">
      <c r="D651">
        <v>2</v>
      </c>
      <c r="E651" t="s">
        <v>8</v>
      </c>
      <c r="F651" t="s">
        <v>1724</v>
      </c>
      <c r="G651">
        <v>215</v>
      </c>
      <c r="H651" t="s">
        <v>1725</v>
      </c>
      <c r="I651">
        <v>261</v>
      </c>
      <c r="J651" t="s">
        <v>1726</v>
      </c>
      <c r="K651">
        <v>1935902</v>
      </c>
    </row>
    <row r="652" spans="4:11" x14ac:dyDescent="0.25">
      <c r="D652">
        <v>1</v>
      </c>
      <c r="E652" t="s">
        <v>39</v>
      </c>
      <c r="F652" t="s">
        <v>1724</v>
      </c>
      <c r="G652">
        <v>215</v>
      </c>
      <c r="H652" t="s">
        <v>1725</v>
      </c>
      <c r="I652">
        <v>262</v>
      </c>
      <c r="J652" t="s">
        <v>1726</v>
      </c>
      <c r="K652">
        <v>1935902</v>
      </c>
    </row>
    <row r="653" spans="4:11" x14ac:dyDescent="0.25">
      <c r="D653">
        <v>3</v>
      </c>
      <c r="E653" t="s">
        <v>107</v>
      </c>
      <c r="F653" t="s">
        <v>1727</v>
      </c>
      <c r="G653">
        <v>215</v>
      </c>
      <c r="H653" t="s">
        <v>1728</v>
      </c>
      <c r="I653">
        <v>270</v>
      </c>
      <c r="J653" t="s">
        <v>1729</v>
      </c>
      <c r="K653">
        <v>1935903</v>
      </c>
    </row>
    <row r="654" spans="4:11" x14ac:dyDescent="0.25">
      <c r="D654">
        <v>2</v>
      </c>
      <c r="E654" t="s">
        <v>12</v>
      </c>
      <c r="F654" t="s">
        <v>1730</v>
      </c>
      <c r="G654">
        <v>215</v>
      </c>
      <c r="H654" t="s">
        <v>1731</v>
      </c>
      <c r="I654">
        <v>253</v>
      </c>
      <c r="J654" t="s">
        <v>1732</v>
      </c>
      <c r="K654">
        <v>1935909</v>
      </c>
    </row>
    <row r="655" spans="4:11" x14ac:dyDescent="0.25">
      <c r="D655">
        <v>3</v>
      </c>
      <c r="E655" t="s">
        <v>12</v>
      </c>
      <c r="F655" t="s">
        <v>1733</v>
      </c>
      <c r="G655">
        <v>215</v>
      </c>
      <c r="H655" t="s">
        <v>1734</v>
      </c>
      <c r="I655">
        <v>259</v>
      </c>
      <c r="J655" t="s">
        <v>1735</v>
      </c>
      <c r="K655">
        <v>1935918</v>
      </c>
    </row>
    <row r="656" spans="4:11" x14ac:dyDescent="0.25">
      <c r="D656">
        <v>1</v>
      </c>
      <c r="E656" t="s">
        <v>107</v>
      </c>
      <c r="F656" t="s">
        <v>1736</v>
      </c>
      <c r="G656">
        <v>215</v>
      </c>
      <c r="H656" t="s">
        <v>1737</v>
      </c>
      <c r="I656">
        <v>250</v>
      </c>
      <c r="J656" t="s">
        <v>1738</v>
      </c>
      <c r="K656">
        <v>1935923</v>
      </c>
    </row>
    <row r="657" spans="4:11" x14ac:dyDescent="0.25">
      <c r="D657">
        <v>2</v>
      </c>
      <c r="E657" t="s">
        <v>24</v>
      </c>
      <c r="F657" t="s">
        <v>1736</v>
      </c>
      <c r="G657">
        <v>215</v>
      </c>
      <c r="H657" t="s">
        <v>1737</v>
      </c>
      <c r="I657">
        <v>241</v>
      </c>
      <c r="J657" t="s">
        <v>1738</v>
      </c>
      <c r="K657">
        <v>1935923</v>
      </c>
    </row>
    <row r="658" spans="4:11" x14ac:dyDescent="0.25">
      <c r="D658">
        <v>3</v>
      </c>
      <c r="E658" t="s">
        <v>183</v>
      </c>
      <c r="F658" t="s">
        <v>1739</v>
      </c>
      <c r="G658">
        <v>215</v>
      </c>
      <c r="H658" t="s">
        <v>1740</v>
      </c>
      <c r="I658">
        <v>243</v>
      </c>
      <c r="J658" t="s">
        <v>1741</v>
      </c>
      <c r="K658">
        <v>1935938</v>
      </c>
    </row>
    <row r="659" spans="4:11" x14ac:dyDescent="0.25">
      <c r="D659">
        <v>1</v>
      </c>
      <c r="E659" t="s">
        <v>24</v>
      </c>
      <c r="F659" t="s">
        <v>1739</v>
      </c>
      <c r="G659">
        <v>215</v>
      </c>
      <c r="H659" t="s">
        <v>1740</v>
      </c>
      <c r="I659">
        <v>245</v>
      </c>
      <c r="J659" t="s">
        <v>1741</v>
      </c>
      <c r="K659">
        <v>1935938</v>
      </c>
    </row>
    <row r="660" spans="4:11" x14ac:dyDescent="0.25">
      <c r="D660">
        <v>1</v>
      </c>
      <c r="E660" t="s">
        <v>20</v>
      </c>
      <c r="F660" t="s">
        <v>1739</v>
      </c>
      <c r="G660">
        <v>215</v>
      </c>
      <c r="H660" t="s">
        <v>1740</v>
      </c>
      <c r="I660">
        <v>244</v>
      </c>
      <c r="J660" t="s">
        <v>1741</v>
      </c>
      <c r="K660">
        <v>1935938</v>
      </c>
    </row>
    <row r="661" spans="4:11" x14ac:dyDescent="0.25">
      <c r="D661">
        <v>3</v>
      </c>
      <c r="E661" t="s">
        <v>20</v>
      </c>
      <c r="F661" t="s">
        <v>1742</v>
      </c>
      <c r="G661">
        <v>215</v>
      </c>
      <c r="H661" t="s">
        <v>1743</v>
      </c>
      <c r="I661">
        <v>244</v>
      </c>
      <c r="J661" t="s">
        <v>1744</v>
      </c>
      <c r="K661">
        <v>1935943</v>
      </c>
    </row>
    <row r="662" spans="4:11" x14ac:dyDescent="0.25">
      <c r="D662">
        <v>3</v>
      </c>
      <c r="E662" t="s">
        <v>12</v>
      </c>
      <c r="F662" t="s">
        <v>1745</v>
      </c>
      <c r="G662">
        <v>215</v>
      </c>
      <c r="H662" t="s">
        <v>1746</v>
      </c>
      <c r="I662">
        <v>263</v>
      </c>
      <c r="J662" t="s">
        <v>1747</v>
      </c>
      <c r="K662">
        <v>1935957</v>
      </c>
    </row>
    <row r="663" spans="4:11" x14ac:dyDescent="0.25">
      <c r="D663">
        <v>2</v>
      </c>
      <c r="E663" t="s">
        <v>8</v>
      </c>
      <c r="F663" t="s">
        <v>1748</v>
      </c>
      <c r="G663">
        <v>215</v>
      </c>
      <c r="H663" t="s">
        <v>1749</v>
      </c>
      <c r="I663">
        <v>246</v>
      </c>
      <c r="J663" t="s">
        <v>1750</v>
      </c>
      <c r="K663">
        <v>1935984</v>
      </c>
    </row>
    <row r="664" spans="4:11" x14ac:dyDescent="0.25">
      <c r="D664">
        <v>2</v>
      </c>
      <c r="E664" t="s">
        <v>255</v>
      </c>
      <c r="F664" t="s">
        <v>1748</v>
      </c>
      <c r="G664">
        <v>215</v>
      </c>
      <c r="H664" t="s">
        <v>1749</v>
      </c>
      <c r="I664">
        <v>251</v>
      </c>
      <c r="J664" t="s">
        <v>1750</v>
      </c>
      <c r="K664">
        <v>1935984</v>
      </c>
    </row>
    <row r="665" spans="4:11" x14ac:dyDescent="0.25">
      <c r="D665">
        <v>2</v>
      </c>
      <c r="E665" t="s">
        <v>155</v>
      </c>
      <c r="F665" t="s">
        <v>1748</v>
      </c>
      <c r="G665">
        <v>215</v>
      </c>
      <c r="H665" t="s">
        <v>1749</v>
      </c>
      <c r="I665">
        <v>247</v>
      </c>
      <c r="J665" t="s">
        <v>1750</v>
      </c>
      <c r="K665">
        <v>1935984</v>
      </c>
    </row>
    <row r="666" spans="4:11" x14ac:dyDescent="0.25">
      <c r="D666">
        <v>2</v>
      </c>
      <c r="E666" t="s">
        <v>107</v>
      </c>
      <c r="F666" t="s">
        <v>1751</v>
      </c>
      <c r="G666">
        <v>215</v>
      </c>
      <c r="H666" t="s">
        <v>1752</v>
      </c>
      <c r="I666">
        <v>250</v>
      </c>
      <c r="J666" t="s">
        <v>1753</v>
      </c>
      <c r="K666">
        <v>1935998</v>
      </c>
    </row>
    <row r="667" spans="4:11" x14ac:dyDescent="0.25">
      <c r="D667">
        <v>3</v>
      </c>
      <c r="E667" t="s">
        <v>12</v>
      </c>
      <c r="F667" t="s">
        <v>1754</v>
      </c>
      <c r="G667">
        <v>215</v>
      </c>
      <c r="H667" t="s">
        <v>1755</v>
      </c>
      <c r="I667">
        <v>253</v>
      </c>
      <c r="J667" t="s">
        <v>1756</v>
      </c>
      <c r="K667">
        <v>1936001</v>
      </c>
    </row>
    <row r="668" spans="4:11" x14ac:dyDescent="0.25">
      <c r="D668">
        <v>1</v>
      </c>
      <c r="E668" t="s">
        <v>43</v>
      </c>
      <c r="F668" t="s">
        <v>1757</v>
      </c>
      <c r="G668">
        <v>215</v>
      </c>
      <c r="H668" t="s">
        <v>1758</v>
      </c>
      <c r="I668">
        <v>239</v>
      </c>
      <c r="J668" t="s">
        <v>1759</v>
      </c>
      <c r="K668">
        <v>1943206</v>
      </c>
    </row>
    <row r="669" spans="4:11" x14ac:dyDescent="0.25">
      <c r="D669">
        <v>2</v>
      </c>
      <c r="E669" t="s">
        <v>12</v>
      </c>
      <c r="F669" t="s">
        <v>1760</v>
      </c>
      <c r="G669">
        <v>215</v>
      </c>
      <c r="H669" t="s">
        <v>1761</v>
      </c>
      <c r="I669">
        <v>231</v>
      </c>
      <c r="J669" t="s">
        <v>1762</v>
      </c>
      <c r="K669">
        <v>1944226</v>
      </c>
    </row>
    <row r="670" spans="4:11" x14ac:dyDescent="0.25">
      <c r="D670">
        <v>3</v>
      </c>
      <c r="E670" t="s">
        <v>12</v>
      </c>
      <c r="F670" t="s">
        <v>1763</v>
      </c>
      <c r="G670">
        <v>215</v>
      </c>
      <c r="H670" t="s">
        <v>1764</v>
      </c>
      <c r="I670">
        <v>231</v>
      </c>
      <c r="J670" t="s">
        <v>1765</v>
      </c>
      <c r="K670">
        <v>1944232</v>
      </c>
    </row>
    <row r="671" spans="4:11" x14ac:dyDescent="0.25">
      <c r="D671">
        <v>2</v>
      </c>
      <c r="E671" t="s">
        <v>50</v>
      </c>
      <c r="F671" t="s">
        <v>1766</v>
      </c>
      <c r="G671">
        <v>215</v>
      </c>
      <c r="H671" t="s">
        <v>1767</v>
      </c>
      <c r="I671">
        <v>233</v>
      </c>
      <c r="J671" t="s">
        <v>1768</v>
      </c>
      <c r="K671">
        <v>1944247</v>
      </c>
    </row>
    <row r="672" spans="4:11" x14ac:dyDescent="0.25">
      <c r="D672">
        <v>1</v>
      </c>
      <c r="E672" t="s">
        <v>20</v>
      </c>
      <c r="F672" t="s">
        <v>1769</v>
      </c>
      <c r="G672">
        <v>215</v>
      </c>
      <c r="H672" t="s">
        <v>1770</v>
      </c>
      <c r="I672">
        <v>220</v>
      </c>
      <c r="J672" t="s">
        <v>1771</v>
      </c>
      <c r="K672">
        <v>1944354</v>
      </c>
    </row>
    <row r="673" spans="4:11" x14ac:dyDescent="0.25">
      <c r="D673">
        <v>2</v>
      </c>
      <c r="E673" t="s">
        <v>155</v>
      </c>
      <c r="F673" t="s">
        <v>1772</v>
      </c>
      <c r="G673">
        <v>215</v>
      </c>
      <c r="H673" t="s">
        <v>1773</v>
      </c>
      <c r="I673">
        <v>222</v>
      </c>
      <c r="J673" t="s">
        <v>1774</v>
      </c>
      <c r="K673">
        <v>1944373</v>
      </c>
    </row>
    <row r="674" spans="4:11" x14ac:dyDescent="0.25">
      <c r="D674">
        <v>2</v>
      </c>
      <c r="E674" t="s">
        <v>20</v>
      </c>
      <c r="F674" t="s">
        <v>1775</v>
      </c>
      <c r="G674">
        <v>215</v>
      </c>
      <c r="H674" t="s">
        <v>1776</v>
      </c>
      <c r="I674">
        <v>220</v>
      </c>
      <c r="J674" t="s">
        <v>1777</v>
      </c>
      <c r="K674">
        <v>1944385</v>
      </c>
    </row>
    <row r="675" spans="4:11" x14ac:dyDescent="0.25">
      <c r="D675">
        <v>3</v>
      </c>
      <c r="E675" t="s">
        <v>39</v>
      </c>
      <c r="F675" t="s">
        <v>1778</v>
      </c>
      <c r="G675">
        <v>215</v>
      </c>
      <c r="H675" t="s">
        <v>1779</v>
      </c>
      <c r="I675">
        <v>226</v>
      </c>
      <c r="J675" t="s">
        <v>1780</v>
      </c>
      <c r="K675">
        <v>1944397</v>
      </c>
    </row>
    <row r="676" spans="4:11" x14ac:dyDescent="0.25">
      <c r="D676">
        <v>2</v>
      </c>
      <c r="E676" t="s">
        <v>16</v>
      </c>
      <c r="F676" t="s">
        <v>1781</v>
      </c>
      <c r="G676">
        <v>215</v>
      </c>
      <c r="H676" t="s">
        <v>1782</v>
      </c>
      <c r="I676">
        <v>234</v>
      </c>
      <c r="J676" t="s">
        <v>1783</v>
      </c>
      <c r="K676">
        <v>1950307</v>
      </c>
    </row>
    <row r="677" spans="4:11" x14ac:dyDescent="0.25">
      <c r="D677">
        <v>3</v>
      </c>
      <c r="E677" t="s">
        <v>54</v>
      </c>
      <c r="F677" t="s">
        <v>1784</v>
      </c>
      <c r="G677">
        <v>215</v>
      </c>
      <c r="H677" t="s">
        <v>1785</v>
      </c>
      <c r="I677">
        <v>237</v>
      </c>
      <c r="J677" t="s">
        <v>1786</v>
      </c>
      <c r="K677">
        <v>1950309</v>
      </c>
    </row>
    <row r="678" spans="4:11" x14ac:dyDescent="0.25">
      <c r="D678">
        <v>3</v>
      </c>
      <c r="E678" t="s">
        <v>12</v>
      </c>
      <c r="F678" t="s">
        <v>1787</v>
      </c>
      <c r="G678">
        <v>215</v>
      </c>
      <c r="H678" t="s">
        <v>1788</v>
      </c>
      <c r="I678">
        <v>152</v>
      </c>
      <c r="J678" t="s">
        <v>1789</v>
      </c>
      <c r="K678">
        <v>1950602</v>
      </c>
    </row>
    <row r="679" spans="4:11" x14ac:dyDescent="0.25">
      <c r="D679">
        <v>1</v>
      </c>
      <c r="E679" t="s">
        <v>107</v>
      </c>
      <c r="F679" t="s">
        <v>1790</v>
      </c>
      <c r="G679">
        <v>215</v>
      </c>
      <c r="H679" t="s">
        <v>1791</v>
      </c>
      <c r="I679">
        <v>149</v>
      </c>
      <c r="J679" t="s">
        <v>1792</v>
      </c>
      <c r="K679">
        <v>1950611</v>
      </c>
    </row>
    <row r="680" spans="4:11" x14ac:dyDescent="0.25">
      <c r="D680">
        <v>2</v>
      </c>
      <c r="E680" t="s">
        <v>107</v>
      </c>
      <c r="F680" t="s">
        <v>1793</v>
      </c>
      <c r="G680">
        <v>215</v>
      </c>
      <c r="H680" t="s">
        <v>1794</v>
      </c>
      <c r="I680">
        <v>149</v>
      </c>
      <c r="J680" t="s">
        <v>1795</v>
      </c>
      <c r="K680">
        <v>1950643</v>
      </c>
    </row>
    <row r="681" spans="4:11" x14ac:dyDescent="0.25">
      <c r="D681">
        <v>1</v>
      </c>
      <c r="E681" t="s">
        <v>39</v>
      </c>
      <c r="F681" t="s">
        <v>1796</v>
      </c>
      <c r="G681">
        <v>215</v>
      </c>
      <c r="H681" t="s">
        <v>1797</v>
      </c>
      <c r="I681">
        <v>162</v>
      </c>
      <c r="J681" t="s">
        <v>1798</v>
      </c>
      <c r="K681">
        <v>1951724</v>
      </c>
    </row>
    <row r="682" spans="4:11" x14ac:dyDescent="0.25">
      <c r="D682">
        <v>2</v>
      </c>
      <c r="E682" t="s">
        <v>107</v>
      </c>
      <c r="F682" t="s">
        <v>1799</v>
      </c>
      <c r="G682">
        <v>215</v>
      </c>
      <c r="H682" t="s">
        <v>1800</v>
      </c>
      <c r="I682">
        <v>117</v>
      </c>
      <c r="J682" t="s">
        <v>1801</v>
      </c>
      <c r="K682">
        <v>1955070</v>
      </c>
    </row>
    <row r="683" spans="4:11" x14ac:dyDescent="0.25">
      <c r="D683">
        <v>2</v>
      </c>
      <c r="E683" t="s">
        <v>24</v>
      </c>
      <c r="F683" t="s">
        <v>1802</v>
      </c>
      <c r="G683">
        <v>215</v>
      </c>
      <c r="H683" t="s">
        <v>1803</v>
      </c>
      <c r="I683">
        <v>112</v>
      </c>
      <c r="J683" t="s">
        <v>1804</v>
      </c>
      <c r="K683">
        <v>1955071</v>
      </c>
    </row>
    <row r="684" spans="4:11" x14ac:dyDescent="0.25">
      <c r="D684">
        <v>3</v>
      </c>
      <c r="E684" t="s">
        <v>183</v>
      </c>
      <c r="F684" t="s">
        <v>1805</v>
      </c>
      <c r="G684">
        <v>215</v>
      </c>
      <c r="H684" t="s">
        <v>1806</v>
      </c>
      <c r="I684">
        <v>121</v>
      </c>
      <c r="J684" t="s">
        <v>1807</v>
      </c>
      <c r="K684">
        <v>1955079</v>
      </c>
    </row>
    <row r="685" spans="4:11" x14ac:dyDescent="0.25">
      <c r="D685">
        <v>1</v>
      </c>
      <c r="E685" t="s">
        <v>39</v>
      </c>
      <c r="F685" t="s">
        <v>1808</v>
      </c>
      <c r="G685">
        <v>215</v>
      </c>
      <c r="H685" t="s">
        <v>1809</v>
      </c>
      <c r="I685">
        <v>119</v>
      </c>
      <c r="J685" t="s">
        <v>1810</v>
      </c>
      <c r="K685">
        <v>1955081</v>
      </c>
    </row>
    <row r="686" spans="4:11" x14ac:dyDescent="0.25">
      <c r="D686">
        <v>1</v>
      </c>
      <c r="E686" t="s">
        <v>31</v>
      </c>
      <c r="F686" t="s">
        <v>1811</v>
      </c>
      <c r="G686">
        <v>215</v>
      </c>
      <c r="H686" t="s">
        <v>1812</v>
      </c>
      <c r="I686">
        <v>132</v>
      </c>
      <c r="J686" t="s">
        <v>1813</v>
      </c>
      <c r="K686">
        <v>1955106</v>
      </c>
    </row>
    <row r="687" spans="4:11" x14ac:dyDescent="0.25">
      <c r="D687">
        <v>2</v>
      </c>
      <c r="E687" t="s">
        <v>16</v>
      </c>
      <c r="F687" t="s">
        <v>1814</v>
      </c>
      <c r="G687">
        <v>215</v>
      </c>
      <c r="H687" t="s">
        <v>1815</v>
      </c>
      <c r="I687">
        <v>110</v>
      </c>
      <c r="J687" t="s">
        <v>1816</v>
      </c>
      <c r="K687">
        <v>1955126</v>
      </c>
    </row>
    <row r="688" spans="4:11" x14ac:dyDescent="0.25">
      <c r="D688">
        <v>3</v>
      </c>
      <c r="E688" t="s">
        <v>24</v>
      </c>
      <c r="F688" t="s">
        <v>1817</v>
      </c>
      <c r="G688">
        <v>215</v>
      </c>
      <c r="H688" t="s">
        <v>1818</v>
      </c>
      <c r="I688">
        <v>99</v>
      </c>
      <c r="J688" t="s">
        <v>1819</v>
      </c>
      <c r="K688">
        <v>1955132</v>
      </c>
    </row>
    <row r="689" spans="4:11" x14ac:dyDescent="0.25">
      <c r="D689">
        <v>3</v>
      </c>
      <c r="E689" t="s">
        <v>35</v>
      </c>
      <c r="F689" t="s">
        <v>1820</v>
      </c>
      <c r="G689">
        <v>215</v>
      </c>
      <c r="H689" t="s">
        <v>1821</v>
      </c>
      <c r="I689">
        <v>327</v>
      </c>
      <c r="J689" t="s">
        <v>1822</v>
      </c>
      <c r="K689">
        <v>1955300</v>
      </c>
    </row>
    <row r="690" spans="4:11" x14ac:dyDescent="0.25">
      <c r="D690">
        <v>1</v>
      </c>
      <c r="E690" t="s">
        <v>64</v>
      </c>
      <c r="F690" t="s">
        <v>1823</v>
      </c>
      <c r="G690">
        <v>215</v>
      </c>
      <c r="H690" t="s">
        <v>1824</v>
      </c>
      <c r="I690">
        <v>322</v>
      </c>
      <c r="J690" t="s">
        <v>1825</v>
      </c>
      <c r="K690">
        <v>1955304</v>
      </c>
    </row>
    <row r="691" spans="4:11" x14ac:dyDescent="0.25">
      <c r="D691">
        <v>2</v>
      </c>
      <c r="E691" t="s">
        <v>31</v>
      </c>
      <c r="F691" t="s">
        <v>1826</v>
      </c>
      <c r="G691">
        <v>215</v>
      </c>
      <c r="H691" t="s">
        <v>1827</v>
      </c>
      <c r="I691">
        <v>323</v>
      </c>
      <c r="J691" t="s">
        <v>1828</v>
      </c>
      <c r="K691">
        <v>1955344</v>
      </c>
    </row>
    <row r="692" spans="4:11" x14ac:dyDescent="0.25">
      <c r="D692">
        <v>3</v>
      </c>
      <c r="E692" t="s">
        <v>16</v>
      </c>
      <c r="F692" t="s">
        <v>1829</v>
      </c>
      <c r="G692">
        <v>215</v>
      </c>
      <c r="H692" t="s">
        <v>1830</v>
      </c>
      <c r="I692">
        <v>326</v>
      </c>
      <c r="J692" t="s">
        <v>1831</v>
      </c>
      <c r="K692">
        <v>1955345</v>
      </c>
    </row>
    <row r="693" spans="4:11" x14ac:dyDescent="0.25">
      <c r="D693">
        <v>1</v>
      </c>
      <c r="E693" t="s">
        <v>50</v>
      </c>
      <c r="F693" t="s">
        <v>1832</v>
      </c>
      <c r="G693">
        <v>215</v>
      </c>
      <c r="H693" t="s">
        <v>1833</v>
      </c>
      <c r="I693">
        <v>318</v>
      </c>
      <c r="J693" t="s">
        <v>1834</v>
      </c>
      <c r="K693">
        <v>1955373</v>
      </c>
    </row>
    <row r="694" spans="4:11" x14ac:dyDescent="0.25">
      <c r="D694">
        <v>2</v>
      </c>
      <c r="E694" t="s">
        <v>35</v>
      </c>
      <c r="F694" t="s">
        <v>1835</v>
      </c>
      <c r="G694">
        <v>215</v>
      </c>
      <c r="H694" t="s">
        <v>1836</v>
      </c>
      <c r="I694">
        <v>324</v>
      </c>
      <c r="J694" t="s">
        <v>1837</v>
      </c>
      <c r="K694">
        <v>1955415</v>
      </c>
    </row>
    <row r="695" spans="4:11" x14ac:dyDescent="0.25">
      <c r="D695">
        <v>3</v>
      </c>
      <c r="E695" t="s">
        <v>35</v>
      </c>
      <c r="F695" t="s">
        <v>1838</v>
      </c>
      <c r="G695">
        <v>215</v>
      </c>
      <c r="H695" t="s">
        <v>1839</v>
      </c>
      <c r="I695">
        <v>320</v>
      </c>
      <c r="J695" t="s">
        <v>1840</v>
      </c>
      <c r="K695">
        <v>1955426</v>
      </c>
    </row>
    <row r="696" spans="4:11" x14ac:dyDescent="0.25">
      <c r="D696">
        <v>2</v>
      </c>
      <c r="E696" t="s">
        <v>39</v>
      </c>
      <c r="F696" t="s">
        <v>1841</v>
      </c>
      <c r="G696">
        <v>215</v>
      </c>
      <c r="H696" t="s">
        <v>1842</v>
      </c>
      <c r="I696">
        <v>1</v>
      </c>
      <c r="J696" t="s">
        <v>1843</v>
      </c>
      <c r="K696">
        <v>1955595</v>
      </c>
    </row>
    <row r="697" spans="4:11" x14ac:dyDescent="0.25">
      <c r="D697">
        <v>3</v>
      </c>
      <c r="E697" t="s">
        <v>64</v>
      </c>
      <c r="F697" t="s">
        <v>1844</v>
      </c>
      <c r="G697">
        <v>215</v>
      </c>
      <c r="H697" t="s">
        <v>1845</v>
      </c>
      <c r="I697">
        <v>84</v>
      </c>
      <c r="J697" t="s">
        <v>1846</v>
      </c>
      <c r="K697">
        <v>1955645</v>
      </c>
    </row>
    <row r="698" spans="4:11" x14ac:dyDescent="0.25">
      <c r="D698">
        <v>3</v>
      </c>
      <c r="E698" t="s">
        <v>20</v>
      </c>
      <c r="F698" t="s">
        <v>1847</v>
      </c>
      <c r="G698">
        <v>215</v>
      </c>
      <c r="H698" t="s">
        <v>1848</v>
      </c>
      <c r="I698">
        <v>16</v>
      </c>
      <c r="J698" t="s">
        <v>1849</v>
      </c>
      <c r="K698">
        <v>1959819</v>
      </c>
    </row>
    <row r="699" spans="4:11" x14ac:dyDescent="0.25">
      <c r="D699">
        <v>1</v>
      </c>
      <c r="E699" t="s">
        <v>255</v>
      </c>
      <c r="F699" t="s">
        <v>1850</v>
      </c>
      <c r="G699">
        <v>215</v>
      </c>
      <c r="H699" t="s">
        <v>1851</v>
      </c>
      <c r="I699">
        <v>15</v>
      </c>
      <c r="J699" t="s">
        <v>1852</v>
      </c>
      <c r="K699">
        <v>1959861</v>
      </c>
    </row>
    <row r="700" spans="4:11" x14ac:dyDescent="0.25">
      <c r="D700">
        <v>1</v>
      </c>
      <c r="E700" t="s">
        <v>20</v>
      </c>
      <c r="F700" t="s">
        <v>1850</v>
      </c>
      <c r="G700">
        <v>215</v>
      </c>
      <c r="H700" t="s">
        <v>1851</v>
      </c>
      <c r="I700">
        <v>16</v>
      </c>
      <c r="J700" t="s">
        <v>1852</v>
      </c>
      <c r="K700">
        <v>1959861</v>
      </c>
    </row>
    <row r="701" spans="4:11" x14ac:dyDescent="0.25">
      <c r="D701">
        <v>2</v>
      </c>
      <c r="E701" t="s">
        <v>43</v>
      </c>
      <c r="F701" t="s">
        <v>1850</v>
      </c>
      <c r="G701">
        <v>215</v>
      </c>
      <c r="H701" t="s">
        <v>1851</v>
      </c>
      <c r="I701">
        <v>19</v>
      </c>
      <c r="J701" t="s">
        <v>1852</v>
      </c>
      <c r="K701">
        <v>1959861</v>
      </c>
    </row>
    <row r="702" spans="4:11" x14ac:dyDescent="0.25">
      <c r="D702">
        <v>3</v>
      </c>
      <c r="E702" t="s">
        <v>20</v>
      </c>
      <c r="F702" t="s">
        <v>1853</v>
      </c>
      <c r="G702">
        <v>215</v>
      </c>
      <c r="H702" t="s">
        <v>1854</v>
      </c>
      <c r="I702">
        <v>9</v>
      </c>
      <c r="J702" t="s">
        <v>1855</v>
      </c>
      <c r="K702">
        <v>1959865</v>
      </c>
    </row>
    <row r="703" spans="4:11" x14ac:dyDescent="0.25">
      <c r="D703">
        <v>3</v>
      </c>
      <c r="E703" t="s">
        <v>255</v>
      </c>
      <c r="F703" t="s">
        <v>1856</v>
      </c>
      <c r="G703">
        <v>215</v>
      </c>
      <c r="H703" t="s">
        <v>1857</v>
      </c>
      <c r="I703">
        <v>15</v>
      </c>
      <c r="J703" t="s">
        <v>1858</v>
      </c>
      <c r="K703">
        <v>1959866</v>
      </c>
    </row>
    <row r="704" spans="4:11" x14ac:dyDescent="0.25">
      <c r="D704">
        <v>3</v>
      </c>
      <c r="E704" t="s">
        <v>39</v>
      </c>
      <c r="F704" t="s">
        <v>1856</v>
      </c>
      <c r="G704">
        <v>215</v>
      </c>
      <c r="H704" t="s">
        <v>1857</v>
      </c>
      <c r="I704">
        <v>17</v>
      </c>
      <c r="J704" t="s">
        <v>1858</v>
      </c>
      <c r="K704">
        <v>1959866</v>
      </c>
    </row>
    <row r="705" spans="4:11" x14ac:dyDescent="0.25">
      <c r="D705">
        <v>1</v>
      </c>
      <c r="E705" t="s">
        <v>16</v>
      </c>
      <c r="F705" t="s">
        <v>1859</v>
      </c>
      <c r="G705">
        <v>215</v>
      </c>
      <c r="H705" t="s">
        <v>1860</v>
      </c>
      <c r="I705">
        <v>54</v>
      </c>
      <c r="J705" t="s">
        <v>1861</v>
      </c>
      <c r="K705">
        <v>1960169</v>
      </c>
    </row>
    <row r="706" spans="4:11" x14ac:dyDescent="0.25">
      <c r="D706">
        <v>1</v>
      </c>
      <c r="E706" t="s">
        <v>39</v>
      </c>
      <c r="F706" t="s">
        <v>1862</v>
      </c>
      <c r="G706">
        <v>215</v>
      </c>
      <c r="H706" t="s">
        <v>1863</v>
      </c>
      <c r="I706">
        <v>22</v>
      </c>
      <c r="J706" t="s">
        <v>1864</v>
      </c>
      <c r="K706">
        <v>1960173</v>
      </c>
    </row>
    <row r="707" spans="4:11" x14ac:dyDescent="0.25">
      <c r="D707">
        <v>3</v>
      </c>
      <c r="E707" t="s">
        <v>54</v>
      </c>
      <c r="F707" t="s">
        <v>1862</v>
      </c>
      <c r="G707">
        <v>215</v>
      </c>
      <c r="H707" t="s">
        <v>1863</v>
      </c>
      <c r="I707">
        <v>23</v>
      </c>
      <c r="J707" t="s">
        <v>1864</v>
      </c>
      <c r="K707">
        <v>1960173</v>
      </c>
    </row>
    <row r="708" spans="4:11" x14ac:dyDescent="0.25">
      <c r="D708">
        <v>1</v>
      </c>
      <c r="E708" t="s">
        <v>50</v>
      </c>
      <c r="F708" t="s">
        <v>1865</v>
      </c>
      <c r="G708">
        <v>215</v>
      </c>
      <c r="H708" t="s">
        <v>1866</v>
      </c>
      <c r="I708">
        <v>24</v>
      </c>
      <c r="J708" t="s">
        <v>1867</v>
      </c>
      <c r="K708">
        <v>1960177</v>
      </c>
    </row>
    <row r="709" spans="4:11" x14ac:dyDescent="0.25">
      <c r="D709">
        <v>2</v>
      </c>
      <c r="E709" t="s">
        <v>43</v>
      </c>
      <c r="F709" t="s">
        <v>1868</v>
      </c>
      <c r="G709">
        <v>215</v>
      </c>
      <c r="H709" t="s">
        <v>1869</v>
      </c>
      <c r="I709">
        <v>34</v>
      </c>
      <c r="J709" t="s">
        <v>1870</v>
      </c>
      <c r="K709">
        <v>1960178</v>
      </c>
    </row>
    <row r="710" spans="4:11" x14ac:dyDescent="0.25">
      <c r="D710">
        <v>2</v>
      </c>
      <c r="E710" t="s">
        <v>20</v>
      </c>
      <c r="F710" t="s">
        <v>1871</v>
      </c>
      <c r="G710">
        <v>215</v>
      </c>
      <c r="H710" t="s">
        <v>1872</v>
      </c>
      <c r="I710">
        <v>45</v>
      </c>
      <c r="J710" t="s">
        <v>1873</v>
      </c>
      <c r="K710">
        <v>1960181</v>
      </c>
    </row>
    <row r="711" spans="4:11" x14ac:dyDescent="0.25">
      <c r="D711">
        <v>2</v>
      </c>
      <c r="E711" t="s">
        <v>54</v>
      </c>
      <c r="F711" t="s">
        <v>1874</v>
      </c>
      <c r="G711">
        <v>215</v>
      </c>
      <c r="H711" t="s">
        <v>1875</v>
      </c>
      <c r="I711">
        <v>55</v>
      </c>
      <c r="J711" t="s">
        <v>1876</v>
      </c>
      <c r="K711">
        <v>1960581</v>
      </c>
    </row>
    <row r="712" spans="4:11" x14ac:dyDescent="0.25">
      <c r="D712">
        <v>3</v>
      </c>
      <c r="E712" t="s">
        <v>64</v>
      </c>
      <c r="F712" t="s">
        <v>1877</v>
      </c>
      <c r="G712">
        <v>215</v>
      </c>
      <c r="H712" t="s">
        <v>1878</v>
      </c>
      <c r="I712">
        <v>46</v>
      </c>
      <c r="J712" t="s">
        <v>1879</v>
      </c>
      <c r="K712">
        <v>1960588</v>
      </c>
    </row>
    <row r="713" spans="4:11" x14ac:dyDescent="0.25">
      <c r="D713">
        <v>2</v>
      </c>
      <c r="E713" t="s">
        <v>54</v>
      </c>
      <c r="F713" t="s">
        <v>1880</v>
      </c>
      <c r="G713">
        <v>215</v>
      </c>
      <c r="H713" t="s">
        <v>1881</v>
      </c>
      <c r="I713">
        <v>23</v>
      </c>
      <c r="J713" t="s">
        <v>1882</v>
      </c>
      <c r="K713">
        <v>1960659</v>
      </c>
    </row>
    <row r="714" spans="4:11" x14ac:dyDescent="0.25">
      <c r="D714">
        <v>1</v>
      </c>
      <c r="E714" t="s">
        <v>35</v>
      </c>
      <c r="F714" t="s">
        <v>1883</v>
      </c>
      <c r="G714">
        <v>215</v>
      </c>
      <c r="H714" t="s">
        <v>1884</v>
      </c>
      <c r="I714">
        <v>32</v>
      </c>
      <c r="J714" t="s">
        <v>1885</v>
      </c>
      <c r="K714">
        <v>1960684</v>
      </c>
    </row>
    <row r="715" spans="4:11" x14ac:dyDescent="0.25">
      <c r="D715">
        <v>1</v>
      </c>
      <c r="E715" t="s">
        <v>20</v>
      </c>
      <c r="F715" t="s">
        <v>1886</v>
      </c>
      <c r="G715">
        <v>215</v>
      </c>
      <c r="H715" t="s">
        <v>1887</v>
      </c>
      <c r="I715">
        <v>37</v>
      </c>
      <c r="J715" t="s">
        <v>1888</v>
      </c>
      <c r="K715">
        <v>1960688</v>
      </c>
    </row>
    <row r="716" spans="4:11" x14ac:dyDescent="0.25">
      <c r="D716">
        <v>1</v>
      </c>
      <c r="E716" t="s">
        <v>54</v>
      </c>
      <c r="F716" t="s">
        <v>1889</v>
      </c>
      <c r="G716">
        <v>215</v>
      </c>
      <c r="H716" t="s">
        <v>1890</v>
      </c>
      <c r="I716">
        <v>58</v>
      </c>
      <c r="J716" t="s">
        <v>1891</v>
      </c>
      <c r="K716">
        <v>1960711</v>
      </c>
    </row>
    <row r="717" spans="4:11" x14ac:dyDescent="0.25">
      <c r="D717">
        <v>1</v>
      </c>
      <c r="E717" t="s">
        <v>43</v>
      </c>
      <c r="F717" t="s">
        <v>1892</v>
      </c>
      <c r="G717">
        <v>215</v>
      </c>
      <c r="H717" t="s">
        <v>1893</v>
      </c>
      <c r="I717">
        <v>61</v>
      </c>
      <c r="J717" t="s">
        <v>1894</v>
      </c>
      <c r="K717">
        <v>1960721</v>
      </c>
    </row>
    <row r="718" spans="4:11" x14ac:dyDescent="0.25">
      <c r="D718">
        <v>2</v>
      </c>
      <c r="E718" t="s">
        <v>64</v>
      </c>
      <c r="F718" t="s">
        <v>1895</v>
      </c>
      <c r="G718">
        <v>215</v>
      </c>
      <c r="H718" t="s">
        <v>1896</v>
      </c>
      <c r="I718">
        <v>62</v>
      </c>
      <c r="J718" t="s">
        <v>1897</v>
      </c>
      <c r="K718">
        <v>1960899</v>
      </c>
    </row>
    <row r="719" spans="4:11" x14ac:dyDescent="0.25">
      <c r="D719">
        <v>1</v>
      </c>
      <c r="E719" t="s">
        <v>64</v>
      </c>
      <c r="F719" t="s">
        <v>1898</v>
      </c>
      <c r="G719">
        <v>215</v>
      </c>
      <c r="H719" t="s">
        <v>1899</v>
      </c>
      <c r="I719">
        <v>26</v>
      </c>
      <c r="J719" t="s">
        <v>1900</v>
      </c>
      <c r="K719">
        <v>1960933</v>
      </c>
    </row>
    <row r="720" spans="4:11" x14ac:dyDescent="0.25">
      <c r="D720">
        <v>3</v>
      </c>
      <c r="E720" t="s">
        <v>39</v>
      </c>
      <c r="F720" t="s">
        <v>1901</v>
      </c>
      <c r="G720">
        <v>215</v>
      </c>
      <c r="H720" t="s">
        <v>1902</v>
      </c>
      <c r="I720">
        <v>22</v>
      </c>
      <c r="J720" t="s">
        <v>1903</v>
      </c>
      <c r="K720">
        <v>1960958</v>
      </c>
    </row>
    <row r="721" spans="4:11" x14ac:dyDescent="0.25">
      <c r="D721">
        <v>3</v>
      </c>
      <c r="E721" t="s">
        <v>155</v>
      </c>
      <c r="F721" t="s">
        <v>1904</v>
      </c>
      <c r="G721">
        <v>215</v>
      </c>
      <c r="H721" t="s">
        <v>1905</v>
      </c>
      <c r="I721">
        <v>28</v>
      </c>
      <c r="J721" t="s">
        <v>1906</v>
      </c>
      <c r="K721">
        <v>1960959</v>
      </c>
    </row>
    <row r="722" spans="4:11" x14ac:dyDescent="0.25">
      <c r="D722">
        <v>3</v>
      </c>
      <c r="E722" t="s">
        <v>16</v>
      </c>
      <c r="F722" t="s">
        <v>1904</v>
      </c>
      <c r="G722">
        <v>215</v>
      </c>
      <c r="H722" t="s">
        <v>1905</v>
      </c>
      <c r="I722">
        <v>27</v>
      </c>
      <c r="J722" t="s">
        <v>1906</v>
      </c>
      <c r="K722">
        <v>1960959</v>
      </c>
    </row>
    <row r="723" spans="4:11" x14ac:dyDescent="0.25">
      <c r="D723">
        <v>1</v>
      </c>
      <c r="E723" t="s">
        <v>54</v>
      </c>
      <c r="F723" t="s">
        <v>1907</v>
      </c>
      <c r="G723">
        <v>215</v>
      </c>
      <c r="H723" t="s">
        <v>1908</v>
      </c>
      <c r="I723">
        <v>31</v>
      </c>
      <c r="J723" t="s">
        <v>1909</v>
      </c>
      <c r="K723">
        <v>1960961</v>
      </c>
    </row>
    <row r="724" spans="4:11" x14ac:dyDescent="0.25">
      <c r="D724">
        <v>3</v>
      </c>
      <c r="E724" t="s">
        <v>20</v>
      </c>
      <c r="F724" t="s">
        <v>1910</v>
      </c>
      <c r="G724">
        <v>215</v>
      </c>
      <c r="H724" t="s">
        <v>1911</v>
      </c>
      <c r="I724">
        <v>45</v>
      </c>
      <c r="J724" t="s">
        <v>1912</v>
      </c>
      <c r="K724">
        <v>1961011</v>
      </c>
    </row>
    <row r="725" spans="4:11" x14ac:dyDescent="0.25">
      <c r="D725">
        <v>2</v>
      </c>
      <c r="E725" t="s">
        <v>54</v>
      </c>
      <c r="F725" t="s">
        <v>1913</v>
      </c>
      <c r="G725">
        <v>215</v>
      </c>
      <c r="H725" t="s">
        <v>1914</v>
      </c>
      <c r="I725">
        <v>31</v>
      </c>
      <c r="J725" t="s">
        <v>1915</v>
      </c>
      <c r="K725">
        <v>1965223</v>
      </c>
    </row>
    <row r="726" spans="4:11" x14ac:dyDescent="0.25">
      <c r="D726">
        <v>2</v>
      </c>
      <c r="E726" t="s">
        <v>20</v>
      </c>
      <c r="F726" t="s">
        <v>1916</v>
      </c>
      <c r="G726">
        <v>215</v>
      </c>
      <c r="H726" t="s">
        <v>1917</v>
      </c>
      <c r="I726">
        <v>37</v>
      </c>
      <c r="J726" t="s">
        <v>1918</v>
      </c>
      <c r="K726">
        <v>1965246</v>
      </c>
    </row>
    <row r="727" spans="4:11" x14ac:dyDescent="0.25">
      <c r="D727">
        <v>3</v>
      </c>
      <c r="E727" t="s">
        <v>20</v>
      </c>
      <c r="F727" t="s">
        <v>1919</v>
      </c>
      <c r="G727">
        <v>215</v>
      </c>
      <c r="H727" t="s">
        <v>1920</v>
      </c>
      <c r="I727">
        <v>59</v>
      </c>
      <c r="J727" t="s">
        <v>1921</v>
      </c>
      <c r="K727">
        <v>1965250</v>
      </c>
    </row>
    <row r="728" spans="4:11" x14ac:dyDescent="0.25">
      <c r="D728">
        <v>3</v>
      </c>
      <c r="E728" t="s">
        <v>54</v>
      </c>
      <c r="F728" t="s">
        <v>1919</v>
      </c>
      <c r="G728">
        <v>215</v>
      </c>
      <c r="H728" t="s">
        <v>1920</v>
      </c>
      <c r="I728">
        <v>58</v>
      </c>
      <c r="J728" t="s">
        <v>1921</v>
      </c>
      <c r="K728">
        <v>1965250</v>
      </c>
    </row>
    <row r="729" spans="4:11" x14ac:dyDescent="0.25">
      <c r="D729">
        <v>2</v>
      </c>
      <c r="E729" t="s">
        <v>50</v>
      </c>
      <c r="F729" t="s">
        <v>1922</v>
      </c>
      <c r="G729">
        <v>215</v>
      </c>
      <c r="H729" t="s">
        <v>1923</v>
      </c>
      <c r="I729">
        <v>57</v>
      </c>
      <c r="J729" t="s">
        <v>1924</v>
      </c>
      <c r="K729">
        <v>1965268</v>
      </c>
    </row>
    <row r="730" spans="4:11" x14ac:dyDescent="0.25">
      <c r="D730">
        <v>3</v>
      </c>
      <c r="E730" t="s">
        <v>64</v>
      </c>
      <c r="F730" t="s">
        <v>1925</v>
      </c>
      <c r="G730">
        <v>215</v>
      </c>
      <c r="H730" t="s">
        <v>1926</v>
      </c>
      <c r="I730">
        <v>26</v>
      </c>
      <c r="J730" t="s">
        <v>1927</v>
      </c>
      <c r="K730">
        <v>1965327</v>
      </c>
    </row>
    <row r="731" spans="4:11" x14ac:dyDescent="0.25">
      <c r="D731">
        <v>1</v>
      </c>
      <c r="E731" t="s">
        <v>64</v>
      </c>
      <c r="F731" t="s">
        <v>1928</v>
      </c>
      <c r="G731">
        <v>215</v>
      </c>
      <c r="H731" t="s">
        <v>1929</v>
      </c>
      <c r="I731">
        <v>46</v>
      </c>
      <c r="J731" t="s">
        <v>1930</v>
      </c>
      <c r="K731">
        <v>1965868</v>
      </c>
    </row>
    <row r="732" spans="4:11" x14ac:dyDescent="0.25">
      <c r="D732">
        <v>2</v>
      </c>
      <c r="E732" t="s">
        <v>50</v>
      </c>
      <c r="F732" t="s">
        <v>1931</v>
      </c>
      <c r="G732">
        <v>215</v>
      </c>
      <c r="H732" t="s">
        <v>1932</v>
      </c>
      <c r="I732">
        <v>30</v>
      </c>
      <c r="J732" t="s">
        <v>1933</v>
      </c>
      <c r="K732">
        <v>1965896</v>
      </c>
    </row>
  </sheetData>
  <mergeCells count="1">
    <mergeCell ref="K1:O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28682-F0D3-469A-BC78-082976408433}">
  <sheetPr>
    <tabColor theme="6"/>
  </sheetPr>
  <dimension ref="A1:Q732"/>
  <sheetViews>
    <sheetView topLeftCell="A3" workbookViewId="0">
      <selection activeCell="E41" sqref="E41"/>
    </sheetView>
  </sheetViews>
  <sheetFormatPr baseColWidth="10" defaultColWidth="11.42578125" defaultRowHeight="15" x14ac:dyDescent="0.25"/>
  <cols>
    <col min="1" max="1" width="80.140625" style="20" customWidth="1"/>
    <col min="2" max="2" width="11.42578125" style="20"/>
    <col min="3" max="3" width="9.85546875" style="20" customWidth="1"/>
    <col min="11" max="17" width="11.42578125" style="20"/>
  </cols>
  <sheetData>
    <row r="1" spans="1:10" s="21" customFormat="1" ht="73.5" customHeight="1" x14ac:dyDescent="0.25">
      <c r="A1" s="21" t="e" vm="1">
        <f>Variables!$A$1</f>
        <v>#VALUE!</v>
      </c>
    </row>
    <row r="2" spans="1:10" s="37" customFormat="1" ht="8.1" customHeight="1" x14ac:dyDescent="0.25"/>
    <row r="3" spans="1:10" x14ac:dyDescent="0.25">
      <c r="D3" t="s">
        <v>0</v>
      </c>
      <c r="E3" t="s">
        <v>1</v>
      </c>
      <c r="F3" t="s">
        <v>2</v>
      </c>
      <c r="G3" t="s">
        <v>3</v>
      </c>
      <c r="H3" t="s">
        <v>4</v>
      </c>
      <c r="I3" t="s">
        <v>5</v>
      </c>
      <c r="J3" t="s">
        <v>7</v>
      </c>
    </row>
    <row r="4" spans="1:10" x14ac:dyDescent="0.25">
      <c r="D4">
        <v>1</v>
      </c>
      <c r="E4" t="s">
        <v>8</v>
      </c>
      <c r="F4" t="s">
        <v>9</v>
      </c>
      <c r="G4">
        <v>99</v>
      </c>
      <c r="H4" t="s">
        <v>10</v>
      </c>
      <c r="I4">
        <v>261</v>
      </c>
      <c r="J4">
        <v>1539969</v>
      </c>
    </row>
    <row r="5" spans="1:10" x14ac:dyDescent="0.25">
      <c r="D5">
        <v>1</v>
      </c>
      <c r="E5" t="s">
        <v>12</v>
      </c>
      <c r="F5" t="s">
        <v>13</v>
      </c>
      <c r="G5">
        <v>171</v>
      </c>
      <c r="H5" t="s">
        <v>14</v>
      </c>
      <c r="I5">
        <v>259</v>
      </c>
      <c r="J5">
        <v>1543549</v>
      </c>
    </row>
    <row r="6" spans="1:10" x14ac:dyDescent="0.25">
      <c r="D6">
        <v>1</v>
      </c>
      <c r="E6" t="s">
        <v>16</v>
      </c>
      <c r="F6" t="s">
        <v>17</v>
      </c>
      <c r="G6">
        <v>98</v>
      </c>
      <c r="H6" t="s">
        <v>18</v>
      </c>
      <c r="I6">
        <v>283</v>
      </c>
      <c r="J6">
        <v>1536045</v>
      </c>
    </row>
    <row r="7" spans="1:10" x14ac:dyDescent="0.25">
      <c r="D7">
        <v>1</v>
      </c>
      <c r="E7" t="s">
        <v>20</v>
      </c>
      <c r="F7" t="s">
        <v>21</v>
      </c>
      <c r="G7">
        <v>122</v>
      </c>
      <c r="H7" t="s">
        <v>22</v>
      </c>
      <c r="I7">
        <v>45</v>
      </c>
      <c r="J7">
        <v>1537325</v>
      </c>
    </row>
    <row r="8" spans="1:10" x14ac:dyDescent="0.25">
      <c r="D8">
        <v>1</v>
      </c>
      <c r="E8" t="s">
        <v>24</v>
      </c>
      <c r="F8" t="s">
        <v>25</v>
      </c>
      <c r="G8">
        <v>80</v>
      </c>
      <c r="H8" t="s">
        <v>26</v>
      </c>
      <c r="I8">
        <v>179</v>
      </c>
      <c r="J8">
        <v>1548817</v>
      </c>
    </row>
    <row r="9" spans="1:10" x14ac:dyDescent="0.25">
      <c r="D9">
        <v>1</v>
      </c>
      <c r="E9" t="s">
        <v>24</v>
      </c>
      <c r="F9" t="s">
        <v>28</v>
      </c>
      <c r="G9">
        <v>72</v>
      </c>
      <c r="H9" t="s">
        <v>29</v>
      </c>
      <c r="I9">
        <v>295</v>
      </c>
      <c r="J9">
        <v>1543963</v>
      </c>
    </row>
    <row r="10" spans="1:10" x14ac:dyDescent="0.25">
      <c r="D10">
        <v>1</v>
      </c>
      <c r="E10" t="s">
        <v>31</v>
      </c>
      <c r="F10" t="s">
        <v>32</v>
      </c>
      <c r="G10">
        <v>31</v>
      </c>
      <c r="H10" t="s">
        <v>33</v>
      </c>
      <c r="I10">
        <v>328</v>
      </c>
      <c r="J10">
        <v>1540305</v>
      </c>
    </row>
    <row r="11" spans="1:10" x14ac:dyDescent="0.25">
      <c r="D11">
        <v>1</v>
      </c>
      <c r="E11" t="s">
        <v>35</v>
      </c>
      <c r="F11" t="s">
        <v>36</v>
      </c>
      <c r="G11">
        <v>5</v>
      </c>
      <c r="H11" t="s">
        <v>37</v>
      </c>
      <c r="I11">
        <v>92</v>
      </c>
      <c r="J11">
        <v>1540353</v>
      </c>
    </row>
    <row r="12" spans="1:10" x14ac:dyDescent="0.25">
      <c r="D12">
        <v>1</v>
      </c>
      <c r="E12" t="s">
        <v>39</v>
      </c>
      <c r="F12" t="s">
        <v>40</v>
      </c>
      <c r="G12">
        <v>5</v>
      </c>
      <c r="H12" t="s">
        <v>41</v>
      </c>
      <c r="I12">
        <v>17</v>
      </c>
    </row>
    <row r="13" spans="1:10" x14ac:dyDescent="0.25">
      <c r="D13">
        <v>1</v>
      </c>
      <c r="E13" t="s">
        <v>43</v>
      </c>
      <c r="F13" t="s">
        <v>44</v>
      </c>
      <c r="G13">
        <v>104</v>
      </c>
      <c r="H13" t="s">
        <v>45</v>
      </c>
      <c r="I13">
        <v>18</v>
      </c>
      <c r="J13">
        <v>1551061</v>
      </c>
    </row>
    <row r="14" spans="1:10" x14ac:dyDescent="0.25">
      <c r="D14">
        <v>1</v>
      </c>
      <c r="E14" t="s">
        <v>35</v>
      </c>
      <c r="F14" t="s">
        <v>47</v>
      </c>
      <c r="G14">
        <v>77</v>
      </c>
      <c r="H14" t="s">
        <v>48</v>
      </c>
      <c r="I14">
        <v>236</v>
      </c>
      <c r="J14">
        <v>1544218</v>
      </c>
    </row>
    <row r="15" spans="1:10" x14ac:dyDescent="0.25">
      <c r="D15">
        <v>1</v>
      </c>
      <c r="E15" t="s">
        <v>50</v>
      </c>
      <c r="F15" t="s">
        <v>51</v>
      </c>
      <c r="G15">
        <v>98</v>
      </c>
      <c r="H15" t="s">
        <v>52</v>
      </c>
      <c r="I15">
        <v>316</v>
      </c>
      <c r="J15">
        <v>1544897</v>
      </c>
    </row>
    <row r="16" spans="1:10" x14ac:dyDescent="0.25">
      <c r="D16">
        <v>1</v>
      </c>
      <c r="E16" t="s">
        <v>54</v>
      </c>
      <c r="F16" t="s">
        <v>55</v>
      </c>
      <c r="G16">
        <v>98</v>
      </c>
      <c r="H16" t="s">
        <v>56</v>
      </c>
      <c r="I16">
        <v>313</v>
      </c>
      <c r="J16">
        <v>1544928</v>
      </c>
    </row>
    <row r="17" spans="4:10" x14ac:dyDescent="0.25">
      <c r="D17">
        <v>1</v>
      </c>
      <c r="E17" t="s">
        <v>16</v>
      </c>
      <c r="F17" t="s">
        <v>58</v>
      </c>
      <c r="G17">
        <v>80</v>
      </c>
      <c r="H17" t="s">
        <v>59</v>
      </c>
      <c r="I17">
        <v>311</v>
      </c>
      <c r="J17">
        <v>1551443</v>
      </c>
    </row>
    <row r="18" spans="4:10" x14ac:dyDescent="0.25">
      <c r="D18">
        <v>1</v>
      </c>
      <c r="E18" t="s">
        <v>16</v>
      </c>
      <c r="F18" t="s">
        <v>61</v>
      </c>
      <c r="G18">
        <v>80</v>
      </c>
      <c r="H18" t="s">
        <v>62</v>
      </c>
      <c r="I18">
        <v>329</v>
      </c>
    </row>
    <row r="19" spans="4:10" x14ac:dyDescent="0.25">
      <c r="D19">
        <v>1</v>
      </c>
      <c r="E19" t="s">
        <v>64</v>
      </c>
      <c r="F19" t="s">
        <v>65</v>
      </c>
      <c r="G19">
        <v>99</v>
      </c>
      <c r="H19" t="s">
        <v>66</v>
      </c>
      <c r="I19">
        <v>91</v>
      </c>
      <c r="J19">
        <v>1555098</v>
      </c>
    </row>
    <row r="20" spans="4:10" x14ac:dyDescent="0.25">
      <c r="D20">
        <v>1</v>
      </c>
      <c r="E20" t="s">
        <v>50</v>
      </c>
      <c r="F20" t="s">
        <v>68</v>
      </c>
      <c r="G20">
        <v>128</v>
      </c>
      <c r="H20" t="s">
        <v>69</v>
      </c>
      <c r="I20">
        <v>30</v>
      </c>
      <c r="J20">
        <v>1555372</v>
      </c>
    </row>
    <row r="21" spans="4:10" x14ac:dyDescent="0.25">
      <c r="D21">
        <v>1</v>
      </c>
      <c r="E21" t="s">
        <v>50</v>
      </c>
      <c r="F21" t="s">
        <v>71</v>
      </c>
      <c r="G21">
        <v>54</v>
      </c>
      <c r="H21" t="s">
        <v>72</v>
      </c>
      <c r="I21">
        <v>83</v>
      </c>
      <c r="J21">
        <v>1555537</v>
      </c>
    </row>
    <row r="22" spans="4:10" x14ac:dyDescent="0.25">
      <c r="D22">
        <v>1</v>
      </c>
      <c r="E22" t="s">
        <v>54</v>
      </c>
      <c r="F22" t="s">
        <v>74</v>
      </c>
      <c r="G22">
        <v>216</v>
      </c>
      <c r="H22" t="s">
        <v>75</v>
      </c>
      <c r="I22">
        <v>81</v>
      </c>
      <c r="J22">
        <v>1556045</v>
      </c>
    </row>
    <row r="23" spans="4:10" x14ac:dyDescent="0.25">
      <c r="D23">
        <v>1</v>
      </c>
      <c r="E23" t="s">
        <v>16</v>
      </c>
      <c r="F23" t="s">
        <v>77</v>
      </c>
      <c r="G23">
        <v>216</v>
      </c>
      <c r="H23" t="s">
        <v>78</v>
      </c>
      <c r="I23">
        <v>82</v>
      </c>
      <c r="J23">
        <v>1556049</v>
      </c>
    </row>
    <row r="24" spans="4:10" x14ac:dyDescent="0.25">
      <c r="D24">
        <v>1</v>
      </c>
      <c r="E24" t="s">
        <v>35</v>
      </c>
      <c r="F24" t="s">
        <v>80</v>
      </c>
      <c r="G24">
        <v>216</v>
      </c>
      <c r="H24" t="s">
        <v>81</v>
      </c>
      <c r="I24">
        <v>84</v>
      </c>
      <c r="J24">
        <v>1556797</v>
      </c>
    </row>
    <row r="25" spans="4:10" x14ac:dyDescent="0.25">
      <c r="D25">
        <v>1</v>
      </c>
      <c r="E25" t="s">
        <v>35</v>
      </c>
      <c r="F25" t="s">
        <v>83</v>
      </c>
      <c r="G25">
        <v>216</v>
      </c>
      <c r="H25" t="s">
        <v>84</v>
      </c>
      <c r="I25">
        <v>86</v>
      </c>
      <c r="J25">
        <v>1556860</v>
      </c>
    </row>
    <row r="26" spans="4:10" x14ac:dyDescent="0.25">
      <c r="D26">
        <v>1</v>
      </c>
      <c r="E26" t="s">
        <v>16</v>
      </c>
      <c r="F26" t="s">
        <v>86</v>
      </c>
      <c r="G26">
        <v>216</v>
      </c>
      <c r="H26" t="s">
        <v>87</v>
      </c>
      <c r="I26">
        <v>87</v>
      </c>
      <c r="J26">
        <v>1556869</v>
      </c>
    </row>
    <row r="27" spans="4:10" x14ac:dyDescent="0.25">
      <c r="D27">
        <v>1</v>
      </c>
      <c r="E27" t="s">
        <v>35</v>
      </c>
      <c r="F27" t="s">
        <v>89</v>
      </c>
      <c r="G27">
        <v>33</v>
      </c>
      <c r="H27" t="s">
        <v>90</v>
      </c>
      <c r="I27">
        <v>327</v>
      </c>
      <c r="J27">
        <v>1556873</v>
      </c>
    </row>
    <row r="28" spans="4:10" x14ac:dyDescent="0.25">
      <c r="D28">
        <v>1</v>
      </c>
      <c r="E28" t="s">
        <v>54</v>
      </c>
      <c r="F28" t="s">
        <v>92</v>
      </c>
      <c r="G28">
        <v>33</v>
      </c>
      <c r="H28" t="s">
        <v>93</v>
      </c>
      <c r="I28">
        <v>315</v>
      </c>
      <c r="J28">
        <v>1559471</v>
      </c>
    </row>
    <row r="29" spans="4:10" x14ac:dyDescent="0.25">
      <c r="D29">
        <v>1</v>
      </c>
      <c r="E29" t="s">
        <v>16</v>
      </c>
      <c r="F29" t="s">
        <v>95</v>
      </c>
      <c r="G29">
        <v>216</v>
      </c>
      <c r="H29" t="s">
        <v>96</v>
      </c>
      <c r="I29">
        <v>326</v>
      </c>
      <c r="J29">
        <v>1562164</v>
      </c>
    </row>
    <row r="30" spans="4:10" x14ac:dyDescent="0.25">
      <c r="D30">
        <v>1</v>
      </c>
      <c r="E30" t="s">
        <v>50</v>
      </c>
      <c r="F30" t="s">
        <v>98</v>
      </c>
      <c r="G30">
        <v>164</v>
      </c>
      <c r="H30" t="s">
        <v>99</v>
      </c>
      <c r="I30">
        <v>235</v>
      </c>
      <c r="J30">
        <v>1563327</v>
      </c>
    </row>
    <row r="31" spans="4:10" x14ac:dyDescent="0.25">
      <c r="D31">
        <v>1</v>
      </c>
      <c r="E31" t="s">
        <v>50</v>
      </c>
      <c r="F31" t="s">
        <v>101</v>
      </c>
      <c r="G31">
        <v>212</v>
      </c>
      <c r="H31" t="s">
        <v>102</v>
      </c>
      <c r="I31">
        <v>85</v>
      </c>
    </row>
    <row r="32" spans="4:10" x14ac:dyDescent="0.25">
      <c r="D32">
        <v>1</v>
      </c>
      <c r="E32" t="s">
        <v>35</v>
      </c>
      <c r="F32" t="s">
        <v>104</v>
      </c>
      <c r="G32">
        <v>14</v>
      </c>
      <c r="H32" t="s">
        <v>105</v>
      </c>
      <c r="I32">
        <v>206</v>
      </c>
      <c r="J32">
        <v>1566437</v>
      </c>
    </row>
    <row r="33" spans="4:10" x14ac:dyDescent="0.25">
      <c r="D33">
        <v>1</v>
      </c>
      <c r="E33" t="s">
        <v>107</v>
      </c>
      <c r="F33" t="s">
        <v>108</v>
      </c>
      <c r="G33">
        <v>216</v>
      </c>
      <c r="H33" t="s">
        <v>109</v>
      </c>
      <c r="I33">
        <v>169</v>
      </c>
      <c r="J33">
        <v>1566997</v>
      </c>
    </row>
    <row r="34" spans="4:10" x14ac:dyDescent="0.25">
      <c r="D34">
        <v>1</v>
      </c>
      <c r="E34" t="s">
        <v>43</v>
      </c>
      <c r="F34" t="s">
        <v>111</v>
      </c>
      <c r="G34">
        <v>72</v>
      </c>
      <c r="H34" t="s">
        <v>112</v>
      </c>
      <c r="I34">
        <v>238</v>
      </c>
      <c r="J34">
        <v>1567361</v>
      </c>
    </row>
    <row r="35" spans="4:10" x14ac:dyDescent="0.25">
      <c r="D35">
        <v>1</v>
      </c>
      <c r="E35" t="s">
        <v>43</v>
      </c>
      <c r="F35" t="s">
        <v>114</v>
      </c>
      <c r="G35">
        <v>194</v>
      </c>
      <c r="H35" t="s">
        <v>115</v>
      </c>
      <c r="I35">
        <v>34</v>
      </c>
      <c r="J35">
        <v>1569203</v>
      </c>
    </row>
    <row r="36" spans="4:10" x14ac:dyDescent="0.25">
      <c r="D36">
        <v>1</v>
      </c>
      <c r="E36" t="s">
        <v>64</v>
      </c>
      <c r="F36" t="s">
        <v>117</v>
      </c>
      <c r="G36">
        <v>54</v>
      </c>
      <c r="H36" t="s">
        <v>118</v>
      </c>
      <c r="I36">
        <v>317</v>
      </c>
      <c r="J36">
        <v>1571506</v>
      </c>
    </row>
    <row r="37" spans="4:10" x14ac:dyDescent="0.25">
      <c r="D37">
        <v>1</v>
      </c>
      <c r="E37" t="s">
        <v>39</v>
      </c>
      <c r="F37" t="s">
        <v>120</v>
      </c>
      <c r="G37">
        <v>212</v>
      </c>
      <c r="H37" t="s">
        <v>121</v>
      </c>
      <c r="I37">
        <v>56</v>
      </c>
      <c r="J37">
        <v>1571559</v>
      </c>
    </row>
    <row r="38" spans="4:10" x14ac:dyDescent="0.25">
      <c r="D38">
        <v>1</v>
      </c>
      <c r="E38" t="s">
        <v>35</v>
      </c>
      <c r="F38" t="s">
        <v>123</v>
      </c>
      <c r="G38">
        <v>93</v>
      </c>
      <c r="H38" t="s">
        <v>124</v>
      </c>
      <c r="I38">
        <v>286</v>
      </c>
      <c r="J38">
        <v>1572318</v>
      </c>
    </row>
    <row r="39" spans="4:10" x14ac:dyDescent="0.25">
      <c r="D39">
        <v>1</v>
      </c>
      <c r="E39" t="s">
        <v>24</v>
      </c>
      <c r="F39" t="s">
        <v>126</v>
      </c>
      <c r="G39">
        <v>194</v>
      </c>
      <c r="H39" t="s">
        <v>127</v>
      </c>
      <c r="I39">
        <v>241</v>
      </c>
    </row>
    <row r="40" spans="4:10" x14ac:dyDescent="0.25">
      <c r="D40">
        <v>1</v>
      </c>
      <c r="E40" t="s">
        <v>39</v>
      </c>
      <c r="F40" t="s">
        <v>126</v>
      </c>
      <c r="G40">
        <v>194</v>
      </c>
      <c r="H40" t="s">
        <v>127</v>
      </c>
      <c r="I40">
        <v>240</v>
      </c>
      <c r="J40">
        <v>1572557</v>
      </c>
    </row>
    <row r="41" spans="4:10" x14ac:dyDescent="0.25">
      <c r="D41">
        <v>1</v>
      </c>
      <c r="E41" t="s">
        <v>20</v>
      </c>
      <c r="F41" t="s">
        <v>129</v>
      </c>
      <c r="G41">
        <v>151</v>
      </c>
      <c r="H41" t="s">
        <v>130</v>
      </c>
      <c r="I41">
        <v>41</v>
      </c>
      <c r="J41">
        <v>1878353</v>
      </c>
    </row>
    <row r="42" spans="4:10" x14ac:dyDescent="0.25">
      <c r="D42">
        <v>1</v>
      </c>
      <c r="E42" t="s">
        <v>54</v>
      </c>
      <c r="F42" t="s">
        <v>132</v>
      </c>
      <c r="G42">
        <v>156</v>
      </c>
      <c r="H42" t="s">
        <v>133</v>
      </c>
      <c r="I42">
        <v>40</v>
      </c>
      <c r="J42">
        <v>1878563</v>
      </c>
    </row>
    <row r="43" spans="4:10" x14ac:dyDescent="0.25">
      <c r="D43">
        <v>1</v>
      </c>
      <c r="E43" t="s">
        <v>16</v>
      </c>
      <c r="F43" t="s">
        <v>135</v>
      </c>
      <c r="G43">
        <v>151</v>
      </c>
      <c r="H43" t="s">
        <v>136</v>
      </c>
      <c r="I43">
        <v>305</v>
      </c>
      <c r="J43">
        <v>1878625</v>
      </c>
    </row>
    <row r="44" spans="4:10" x14ac:dyDescent="0.25">
      <c r="D44">
        <v>1</v>
      </c>
      <c r="E44" t="s">
        <v>16</v>
      </c>
      <c r="F44" t="s">
        <v>138</v>
      </c>
      <c r="G44">
        <v>56</v>
      </c>
      <c r="H44" t="s">
        <v>139</v>
      </c>
      <c r="I44">
        <v>102</v>
      </c>
      <c r="J44">
        <v>1878715</v>
      </c>
    </row>
    <row r="45" spans="4:10" x14ac:dyDescent="0.25">
      <c r="D45">
        <v>1</v>
      </c>
      <c r="E45" t="s">
        <v>35</v>
      </c>
      <c r="F45" t="s">
        <v>141</v>
      </c>
      <c r="G45">
        <v>56</v>
      </c>
      <c r="H45" t="s">
        <v>142</v>
      </c>
      <c r="I45">
        <v>105</v>
      </c>
      <c r="J45">
        <v>1878716</v>
      </c>
    </row>
    <row r="46" spans="4:10" x14ac:dyDescent="0.25">
      <c r="D46">
        <v>1</v>
      </c>
      <c r="E46" t="s">
        <v>12</v>
      </c>
      <c r="F46" t="s">
        <v>144</v>
      </c>
      <c r="G46">
        <v>72</v>
      </c>
      <c r="H46" t="s">
        <v>145</v>
      </c>
      <c r="I46">
        <v>98</v>
      </c>
      <c r="J46">
        <v>1880479</v>
      </c>
    </row>
    <row r="47" spans="4:10" x14ac:dyDescent="0.25">
      <c r="D47">
        <v>1</v>
      </c>
      <c r="E47" t="s">
        <v>54</v>
      </c>
      <c r="F47" t="s">
        <v>147</v>
      </c>
      <c r="G47">
        <v>216</v>
      </c>
      <c r="H47" t="s">
        <v>148</v>
      </c>
      <c r="I47">
        <v>281</v>
      </c>
      <c r="J47">
        <v>1887714</v>
      </c>
    </row>
    <row r="48" spans="4:10" x14ac:dyDescent="0.25">
      <c r="D48">
        <v>1</v>
      </c>
      <c r="E48" t="s">
        <v>16</v>
      </c>
      <c r="F48" t="s">
        <v>150</v>
      </c>
      <c r="G48">
        <v>205</v>
      </c>
      <c r="H48" t="s">
        <v>151</v>
      </c>
      <c r="I48">
        <v>90</v>
      </c>
      <c r="J48">
        <v>1887963</v>
      </c>
    </row>
    <row r="49" spans="4:10" x14ac:dyDescent="0.25">
      <c r="D49">
        <v>1</v>
      </c>
      <c r="E49" t="s">
        <v>43</v>
      </c>
      <c r="F49" t="s">
        <v>152</v>
      </c>
      <c r="G49">
        <v>57</v>
      </c>
      <c r="H49" t="s">
        <v>153</v>
      </c>
      <c r="I49">
        <v>70</v>
      </c>
      <c r="J49">
        <v>1888993</v>
      </c>
    </row>
    <row r="50" spans="4:10" x14ac:dyDescent="0.25">
      <c r="D50">
        <v>1</v>
      </c>
      <c r="E50" t="s">
        <v>155</v>
      </c>
      <c r="F50" t="s">
        <v>156</v>
      </c>
      <c r="G50">
        <v>72</v>
      </c>
      <c r="H50" t="s">
        <v>157</v>
      </c>
      <c r="I50">
        <v>181</v>
      </c>
      <c r="J50">
        <v>1891323</v>
      </c>
    </row>
    <row r="51" spans="4:10" x14ac:dyDescent="0.25">
      <c r="D51">
        <v>1</v>
      </c>
      <c r="E51" t="s">
        <v>43</v>
      </c>
      <c r="F51" t="s">
        <v>159</v>
      </c>
      <c r="G51">
        <v>113</v>
      </c>
      <c r="H51" t="s">
        <v>160</v>
      </c>
      <c r="I51">
        <v>71</v>
      </c>
      <c r="J51">
        <v>1891498</v>
      </c>
    </row>
    <row r="52" spans="4:10" x14ac:dyDescent="0.25">
      <c r="D52">
        <v>1</v>
      </c>
      <c r="E52" t="s">
        <v>16</v>
      </c>
      <c r="F52" t="s">
        <v>161</v>
      </c>
      <c r="G52">
        <v>72</v>
      </c>
      <c r="H52" t="s">
        <v>162</v>
      </c>
      <c r="I52">
        <v>287</v>
      </c>
      <c r="J52">
        <v>1893272</v>
      </c>
    </row>
    <row r="53" spans="4:10" x14ac:dyDescent="0.25">
      <c r="D53">
        <v>1</v>
      </c>
      <c r="E53" t="s">
        <v>12</v>
      </c>
      <c r="F53" t="s">
        <v>164</v>
      </c>
      <c r="G53">
        <v>113</v>
      </c>
      <c r="H53" t="s">
        <v>165</v>
      </c>
      <c r="I53">
        <v>221</v>
      </c>
      <c r="J53">
        <v>1893845</v>
      </c>
    </row>
    <row r="54" spans="4:10" x14ac:dyDescent="0.25">
      <c r="D54">
        <v>1</v>
      </c>
      <c r="E54" t="s">
        <v>107</v>
      </c>
      <c r="F54" t="s">
        <v>166</v>
      </c>
      <c r="G54">
        <v>113</v>
      </c>
      <c r="H54" t="s">
        <v>167</v>
      </c>
      <c r="I54">
        <v>223</v>
      </c>
      <c r="J54">
        <v>1893972</v>
      </c>
    </row>
    <row r="55" spans="4:10" x14ac:dyDescent="0.25">
      <c r="D55">
        <v>1</v>
      </c>
      <c r="E55" t="s">
        <v>20</v>
      </c>
      <c r="F55" t="s">
        <v>168</v>
      </c>
      <c r="G55">
        <v>113</v>
      </c>
      <c r="H55" t="s">
        <v>169</v>
      </c>
      <c r="I55">
        <v>224</v>
      </c>
      <c r="J55">
        <v>1893995</v>
      </c>
    </row>
    <row r="56" spans="4:10" x14ac:dyDescent="0.25">
      <c r="D56">
        <v>1</v>
      </c>
      <c r="E56" t="s">
        <v>155</v>
      </c>
      <c r="F56" t="s">
        <v>170</v>
      </c>
      <c r="G56">
        <v>72</v>
      </c>
      <c r="H56" t="s">
        <v>171</v>
      </c>
      <c r="I56">
        <v>115</v>
      </c>
      <c r="J56">
        <v>1895661</v>
      </c>
    </row>
    <row r="57" spans="4:10" x14ac:dyDescent="0.25">
      <c r="D57">
        <v>1</v>
      </c>
      <c r="E57" t="s">
        <v>107</v>
      </c>
      <c r="F57" t="s">
        <v>173</v>
      </c>
      <c r="G57">
        <v>72</v>
      </c>
      <c r="H57" t="s">
        <v>174</v>
      </c>
      <c r="I57">
        <v>117</v>
      </c>
      <c r="J57">
        <v>1895672</v>
      </c>
    </row>
    <row r="58" spans="4:10" x14ac:dyDescent="0.25">
      <c r="D58">
        <v>1</v>
      </c>
      <c r="E58" t="s">
        <v>54</v>
      </c>
      <c r="F58" t="s">
        <v>176</v>
      </c>
      <c r="G58">
        <v>72</v>
      </c>
      <c r="H58" t="s">
        <v>177</v>
      </c>
      <c r="I58">
        <v>126</v>
      </c>
      <c r="J58">
        <v>1895717</v>
      </c>
    </row>
    <row r="59" spans="4:10" x14ac:dyDescent="0.25">
      <c r="D59">
        <v>1</v>
      </c>
      <c r="E59" t="s">
        <v>35</v>
      </c>
      <c r="F59" t="s">
        <v>179</v>
      </c>
      <c r="G59">
        <v>82</v>
      </c>
      <c r="H59" t="s">
        <v>180</v>
      </c>
      <c r="I59">
        <v>187</v>
      </c>
      <c r="J59">
        <v>1896230</v>
      </c>
    </row>
    <row r="60" spans="4:10" x14ac:dyDescent="0.25">
      <c r="D60">
        <v>1</v>
      </c>
      <c r="E60" t="s">
        <v>107</v>
      </c>
      <c r="F60" t="s">
        <v>181</v>
      </c>
      <c r="G60">
        <v>108</v>
      </c>
      <c r="H60" t="s">
        <v>182</v>
      </c>
      <c r="I60">
        <v>151</v>
      </c>
      <c r="J60">
        <v>1896548</v>
      </c>
    </row>
    <row r="61" spans="4:10" x14ac:dyDescent="0.25">
      <c r="D61">
        <v>1</v>
      </c>
      <c r="E61" t="s">
        <v>183</v>
      </c>
      <c r="F61" t="s">
        <v>184</v>
      </c>
      <c r="G61">
        <v>108</v>
      </c>
      <c r="H61" t="s">
        <v>185</v>
      </c>
      <c r="I61">
        <v>168</v>
      </c>
      <c r="J61">
        <v>1896735</v>
      </c>
    </row>
    <row r="62" spans="4:10" x14ac:dyDescent="0.25">
      <c r="D62">
        <v>1</v>
      </c>
      <c r="E62" t="s">
        <v>107</v>
      </c>
      <c r="F62" t="s">
        <v>186</v>
      </c>
      <c r="G62">
        <v>108</v>
      </c>
      <c r="H62" t="s">
        <v>187</v>
      </c>
      <c r="I62">
        <v>176</v>
      </c>
      <c r="J62">
        <v>1896763</v>
      </c>
    </row>
    <row r="63" spans="4:10" x14ac:dyDescent="0.25">
      <c r="D63">
        <v>1</v>
      </c>
      <c r="E63" t="s">
        <v>8</v>
      </c>
      <c r="F63" t="s">
        <v>188</v>
      </c>
      <c r="G63">
        <v>108</v>
      </c>
      <c r="H63" t="s">
        <v>189</v>
      </c>
      <c r="I63">
        <v>178</v>
      </c>
      <c r="J63">
        <v>1896765</v>
      </c>
    </row>
    <row r="64" spans="4:10" x14ac:dyDescent="0.25">
      <c r="D64">
        <v>1</v>
      </c>
      <c r="E64" t="s">
        <v>16</v>
      </c>
      <c r="F64" t="s">
        <v>190</v>
      </c>
      <c r="G64">
        <v>151</v>
      </c>
      <c r="H64" t="s">
        <v>191</v>
      </c>
      <c r="I64">
        <v>27</v>
      </c>
      <c r="J64">
        <v>1898250</v>
      </c>
    </row>
    <row r="65" spans="4:10" x14ac:dyDescent="0.25">
      <c r="D65">
        <v>1</v>
      </c>
      <c r="E65" t="s">
        <v>24</v>
      </c>
      <c r="F65" t="s">
        <v>193</v>
      </c>
      <c r="G65">
        <v>53</v>
      </c>
      <c r="H65" t="s">
        <v>194</v>
      </c>
      <c r="I65">
        <v>172</v>
      </c>
      <c r="J65">
        <v>1898499</v>
      </c>
    </row>
    <row r="66" spans="4:10" x14ac:dyDescent="0.25">
      <c r="D66">
        <v>1</v>
      </c>
      <c r="E66" t="s">
        <v>20</v>
      </c>
      <c r="F66" t="s">
        <v>196</v>
      </c>
      <c r="G66">
        <v>104</v>
      </c>
      <c r="H66" t="s">
        <v>197</v>
      </c>
      <c r="I66">
        <v>209</v>
      </c>
      <c r="J66">
        <v>1899653</v>
      </c>
    </row>
    <row r="67" spans="4:10" x14ac:dyDescent="0.25">
      <c r="D67">
        <v>1</v>
      </c>
      <c r="E67" t="s">
        <v>35</v>
      </c>
      <c r="F67" t="s">
        <v>199</v>
      </c>
      <c r="G67">
        <v>60</v>
      </c>
      <c r="H67" t="s">
        <v>200</v>
      </c>
      <c r="I67">
        <v>47</v>
      </c>
      <c r="J67">
        <v>1899666</v>
      </c>
    </row>
    <row r="68" spans="4:10" x14ac:dyDescent="0.25">
      <c r="D68">
        <v>1</v>
      </c>
      <c r="E68" t="s">
        <v>54</v>
      </c>
      <c r="F68" t="s">
        <v>202</v>
      </c>
      <c r="G68">
        <v>77</v>
      </c>
      <c r="H68" t="s">
        <v>203</v>
      </c>
      <c r="I68">
        <v>210</v>
      </c>
      <c r="J68">
        <v>1899728</v>
      </c>
    </row>
    <row r="69" spans="4:10" x14ac:dyDescent="0.25">
      <c r="D69">
        <v>1</v>
      </c>
      <c r="E69" t="s">
        <v>16</v>
      </c>
      <c r="F69" t="s">
        <v>205</v>
      </c>
      <c r="G69">
        <v>68</v>
      </c>
      <c r="H69" t="s">
        <v>206</v>
      </c>
      <c r="I69">
        <v>29</v>
      </c>
      <c r="J69">
        <v>1901284</v>
      </c>
    </row>
    <row r="70" spans="4:10" x14ac:dyDescent="0.25">
      <c r="D70">
        <v>1</v>
      </c>
      <c r="E70" t="s">
        <v>35</v>
      </c>
      <c r="F70" t="s">
        <v>208</v>
      </c>
      <c r="G70">
        <v>42</v>
      </c>
      <c r="H70" t="s">
        <v>209</v>
      </c>
      <c r="I70">
        <v>134</v>
      </c>
      <c r="J70">
        <v>1901538</v>
      </c>
    </row>
    <row r="71" spans="4:10" x14ac:dyDescent="0.25">
      <c r="D71">
        <v>1</v>
      </c>
      <c r="E71" t="s">
        <v>64</v>
      </c>
      <c r="F71" t="s">
        <v>210</v>
      </c>
      <c r="G71">
        <v>42</v>
      </c>
      <c r="H71" t="s">
        <v>211</v>
      </c>
      <c r="I71">
        <v>135</v>
      </c>
      <c r="J71">
        <v>1901545</v>
      </c>
    </row>
    <row r="72" spans="4:10" x14ac:dyDescent="0.25">
      <c r="D72">
        <v>1</v>
      </c>
      <c r="E72" t="s">
        <v>54</v>
      </c>
      <c r="F72" t="s">
        <v>212</v>
      </c>
      <c r="G72">
        <v>42</v>
      </c>
      <c r="H72" t="s">
        <v>213</v>
      </c>
      <c r="I72">
        <v>138</v>
      </c>
      <c r="J72">
        <v>1901550</v>
      </c>
    </row>
    <row r="73" spans="4:10" x14ac:dyDescent="0.25">
      <c r="D73">
        <v>1</v>
      </c>
      <c r="E73" t="s">
        <v>16</v>
      </c>
      <c r="F73" t="s">
        <v>214</v>
      </c>
      <c r="G73">
        <v>42</v>
      </c>
      <c r="H73" t="s">
        <v>215</v>
      </c>
      <c r="I73">
        <v>139</v>
      </c>
      <c r="J73">
        <v>1901556</v>
      </c>
    </row>
    <row r="74" spans="4:10" x14ac:dyDescent="0.25">
      <c r="D74">
        <v>1</v>
      </c>
      <c r="E74" t="s">
        <v>107</v>
      </c>
      <c r="F74" t="s">
        <v>216</v>
      </c>
      <c r="G74">
        <v>108</v>
      </c>
      <c r="H74" t="s">
        <v>217</v>
      </c>
      <c r="I74">
        <v>230</v>
      </c>
      <c r="J74">
        <v>1902055</v>
      </c>
    </row>
    <row r="75" spans="4:10" x14ac:dyDescent="0.25">
      <c r="D75">
        <v>1</v>
      </c>
      <c r="E75" t="s">
        <v>12</v>
      </c>
      <c r="F75" t="s">
        <v>218</v>
      </c>
      <c r="G75">
        <v>108</v>
      </c>
      <c r="H75" t="s">
        <v>219</v>
      </c>
      <c r="I75">
        <v>231</v>
      </c>
      <c r="J75">
        <v>1902081</v>
      </c>
    </row>
    <row r="76" spans="4:10" x14ac:dyDescent="0.25">
      <c r="D76">
        <v>1</v>
      </c>
      <c r="E76" t="s">
        <v>39</v>
      </c>
      <c r="F76" t="s">
        <v>220</v>
      </c>
      <c r="G76">
        <v>113</v>
      </c>
      <c r="H76" t="s">
        <v>221</v>
      </c>
      <c r="I76">
        <v>1</v>
      </c>
      <c r="J76">
        <v>1902135</v>
      </c>
    </row>
    <row r="77" spans="4:10" x14ac:dyDescent="0.25">
      <c r="D77">
        <v>1</v>
      </c>
      <c r="E77" t="s">
        <v>20</v>
      </c>
      <c r="F77" t="s">
        <v>222</v>
      </c>
      <c r="G77">
        <v>113</v>
      </c>
      <c r="H77" t="s">
        <v>223</v>
      </c>
      <c r="I77">
        <v>2</v>
      </c>
      <c r="J77">
        <v>1902147</v>
      </c>
    </row>
    <row r="78" spans="4:10" x14ac:dyDescent="0.25">
      <c r="D78">
        <v>1</v>
      </c>
      <c r="E78" t="s">
        <v>39</v>
      </c>
      <c r="F78" t="s">
        <v>224</v>
      </c>
      <c r="G78">
        <v>42</v>
      </c>
      <c r="H78" t="s">
        <v>225</v>
      </c>
      <c r="I78">
        <v>275</v>
      </c>
      <c r="J78">
        <v>1902295</v>
      </c>
    </row>
    <row r="79" spans="4:10" x14ac:dyDescent="0.25">
      <c r="D79">
        <v>1</v>
      </c>
      <c r="E79" t="s">
        <v>20</v>
      </c>
      <c r="F79" t="s">
        <v>226</v>
      </c>
      <c r="G79">
        <v>42</v>
      </c>
      <c r="H79" t="s">
        <v>227</v>
      </c>
      <c r="I79">
        <v>276</v>
      </c>
      <c r="J79">
        <v>1902307</v>
      </c>
    </row>
    <row r="80" spans="4:10" x14ac:dyDescent="0.25">
      <c r="D80">
        <v>1</v>
      </c>
      <c r="E80" t="s">
        <v>50</v>
      </c>
      <c r="F80" t="s">
        <v>228</v>
      </c>
      <c r="G80">
        <v>200</v>
      </c>
      <c r="H80" t="s">
        <v>229</v>
      </c>
      <c r="I80">
        <v>284</v>
      </c>
      <c r="J80">
        <v>1902841</v>
      </c>
    </row>
    <row r="81" spans="4:10" x14ac:dyDescent="0.25">
      <c r="D81">
        <v>1</v>
      </c>
      <c r="E81" t="s">
        <v>35</v>
      </c>
      <c r="F81" t="s">
        <v>231</v>
      </c>
      <c r="G81">
        <v>33</v>
      </c>
      <c r="H81" t="s">
        <v>232</v>
      </c>
      <c r="I81">
        <v>309</v>
      </c>
      <c r="J81">
        <v>1903011</v>
      </c>
    </row>
    <row r="82" spans="4:10" x14ac:dyDescent="0.25">
      <c r="D82">
        <v>1</v>
      </c>
      <c r="E82" t="s">
        <v>35</v>
      </c>
      <c r="F82" t="s">
        <v>234</v>
      </c>
      <c r="G82">
        <v>20</v>
      </c>
      <c r="H82" t="s">
        <v>235</v>
      </c>
      <c r="I82">
        <v>64</v>
      </c>
      <c r="J82">
        <v>1903112</v>
      </c>
    </row>
    <row r="83" spans="4:10" x14ac:dyDescent="0.25">
      <c r="D83">
        <v>1</v>
      </c>
      <c r="E83" t="s">
        <v>183</v>
      </c>
      <c r="F83" t="s">
        <v>236</v>
      </c>
      <c r="G83">
        <v>20</v>
      </c>
      <c r="H83" t="s">
        <v>237</v>
      </c>
      <c r="I83">
        <v>120</v>
      </c>
      <c r="J83">
        <v>1903136</v>
      </c>
    </row>
    <row r="84" spans="4:10" x14ac:dyDescent="0.25">
      <c r="D84">
        <v>1</v>
      </c>
      <c r="E84" t="s">
        <v>20</v>
      </c>
      <c r="F84" t="s">
        <v>236</v>
      </c>
      <c r="G84">
        <v>20</v>
      </c>
      <c r="H84" t="s">
        <v>237</v>
      </c>
      <c r="I84">
        <v>118</v>
      </c>
      <c r="J84">
        <v>1903136</v>
      </c>
    </row>
    <row r="85" spans="4:10" x14ac:dyDescent="0.25">
      <c r="D85">
        <v>1</v>
      </c>
      <c r="E85" t="s">
        <v>54</v>
      </c>
      <c r="F85" t="s">
        <v>239</v>
      </c>
      <c r="G85">
        <v>113</v>
      </c>
      <c r="H85" t="s">
        <v>240</v>
      </c>
      <c r="I85">
        <v>285</v>
      </c>
      <c r="J85">
        <v>1904038</v>
      </c>
    </row>
    <row r="86" spans="4:10" x14ac:dyDescent="0.25">
      <c r="D86">
        <v>1</v>
      </c>
      <c r="E86" t="s">
        <v>50</v>
      </c>
      <c r="F86" t="s">
        <v>241</v>
      </c>
      <c r="G86">
        <v>113</v>
      </c>
      <c r="H86" t="s">
        <v>242</v>
      </c>
      <c r="I86">
        <v>280</v>
      </c>
      <c r="J86">
        <v>1904040</v>
      </c>
    </row>
    <row r="87" spans="4:10" x14ac:dyDescent="0.25">
      <c r="D87">
        <v>1</v>
      </c>
      <c r="E87" t="s">
        <v>35</v>
      </c>
      <c r="F87" t="s">
        <v>243</v>
      </c>
      <c r="G87">
        <v>66</v>
      </c>
      <c r="H87" t="s">
        <v>244</v>
      </c>
      <c r="I87">
        <v>36</v>
      </c>
      <c r="J87">
        <v>1904099</v>
      </c>
    </row>
    <row r="88" spans="4:10" x14ac:dyDescent="0.25">
      <c r="D88">
        <v>1</v>
      </c>
      <c r="E88" t="s">
        <v>24</v>
      </c>
      <c r="F88" t="s">
        <v>246</v>
      </c>
      <c r="G88">
        <v>77</v>
      </c>
      <c r="H88" t="s">
        <v>247</v>
      </c>
      <c r="I88">
        <v>296</v>
      </c>
      <c r="J88">
        <v>1904251</v>
      </c>
    </row>
    <row r="89" spans="4:10" x14ac:dyDescent="0.25">
      <c r="D89">
        <v>1</v>
      </c>
      <c r="E89" t="s">
        <v>8</v>
      </c>
      <c r="F89" t="s">
        <v>249</v>
      </c>
      <c r="G89">
        <v>77</v>
      </c>
      <c r="H89" t="s">
        <v>250</v>
      </c>
      <c r="I89">
        <v>219</v>
      </c>
      <c r="J89">
        <v>1904430</v>
      </c>
    </row>
    <row r="90" spans="4:10" x14ac:dyDescent="0.25">
      <c r="D90">
        <v>1</v>
      </c>
      <c r="E90" t="s">
        <v>155</v>
      </c>
      <c r="F90" t="s">
        <v>252</v>
      </c>
      <c r="G90">
        <v>77</v>
      </c>
      <c r="H90" t="s">
        <v>253</v>
      </c>
      <c r="I90">
        <v>294</v>
      </c>
      <c r="J90">
        <v>1904745</v>
      </c>
    </row>
    <row r="91" spans="4:10" x14ac:dyDescent="0.25">
      <c r="D91">
        <v>1</v>
      </c>
      <c r="E91" t="s">
        <v>255</v>
      </c>
      <c r="F91" t="s">
        <v>256</v>
      </c>
      <c r="G91">
        <v>93</v>
      </c>
      <c r="H91" t="s">
        <v>257</v>
      </c>
      <c r="I91">
        <v>264</v>
      </c>
      <c r="J91">
        <v>1904977</v>
      </c>
    </row>
    <row r="92" spans="4:10" x14ac:dyDescent="0.25">
      <c r="D92">
        <v>1</v>
      </c>
      <c r="E92" t="s">
        <v>20</v>
      </c>
      <c r="F92" t="s">
        <v>259</v>
      </c>
      <c r="G92">
        <v>93</v>
      </c>
      <c r="H92" t="s">
        <v>260</v>
      </c>
      <c r="I92">
        <v>267</v>
      </c>
      <c r="J92">
        <v>1905860</v>
      </c>
    </row>
    <row r="93" spans="4:10" x14ac:dyDescent="0.25">
      <c r="D93">
        <v>1</v>
      </c>
      <c r="E93" t="s">
        <v>20</v>
      </c>
      <c r="F93" t="s">
        <v>262</v>
      </c>
      <c r="G93">
        <v>82</v>
      </c>
      <c r="H93" t="s">
        <v>263</v>
      </c>
      <c r="I93">
        <v>196</v>
      </c>
      <c r="J93">
        <v>1906515</v>
      </c>
    </row>
    <row r="94" spans="4:10" x14ac:dyDescent="0.25">
      <c r="D94">
        <v>1</v>
      </c>
      <c r="E94" t="s">
        <v>183</v>
      </c>
      <c r="F94" t="s">
        <v>265</v>
      </c>
      <c r="G94">
        <v>82</v>
      </c>
      <c r="H94" t="s">
        <v>266</v>
      </c>
      <c r="I94">
        <v>260</v>
      </c>
      <c r="J94">
        <v>1907192</v>
      </c>
    </row>
    <row r="95" spans="4:10" x14ac:dyDescent="0.25">
      <c r="D95">
        <v>1</v>
      </c>
      <c r="E95" t="s">
        <v>20</v>
      </c>
      <c r="F95" t="s">
        <v>268</v>
      </c>
      <c r="G95">
        <v>59</v>
      </c>
      <c r="H95" t="s">
        <v>269</v>
      </c>
      <c r="I95">
        <v>59</v>
      </c>
      <c r="J95">
        <v>1908333</v>
      </c>
    </row>
    <row r="96" spans="4:10" x14ac:dyDescent="0.25">
      <c r="D96">
        <v>1</v>
      </c>
      <c r="E96" t="s">
        <v>35</v>
      </c>
      <c r="F96" t="s">
        <v>271</v>
      </c>
      <c r="G96">
        <v>93</v>
      </c>
      <c r="H96" t="s">
        <v>272</v>
      </c>
      <c r="I96">
        <v>184</v>
      </c>
      <c r="J96">
        <v>1909030</v>
      </c>
    </row>
    <row r="97" spans="4:10" x14ac:dyDescent="0.25">
      <c r="D97">
        <v>1</v>
      </c>
      <c r="E97" t="s">
        <v>24</v>
      </c>
      <c r="F97" t="s">
        <v>274</v>
      </c>
      <c r="G97">
        <v>72</v>
      </c>
      <c r="H97" t="s">
        <v>275</v>
      </c>
      <c r="I97">
        <v>266</v>
      </c>
      <c r="J97">
        <v>1909294</v>
      </c>
    </row>
    <row r="98" spans="4:10" x14ac:dyDescent="0.25">
      <c r="D98">
        <v>1</v>
      </c>
      <c r="E98" t="s">
        <v>107</v>
      </c>
      <c r="F98" t="s">
        <v>274</v>
      </c>
      <c r="G98">
        <v>72</v>
      </c>
      <c r="H98" t="s">
        <v>275</v>
      </c>
      <c r="I98">
        <v>270</v>
      </c>
      <c r="J98">
        <v>1909294</v>
      </c>
    </row>
    <row r="99" spans="4:10" x14ac:dyDescent="0.25">
      <c r="D99">
        <v>1</v>
      </c>
      <c r="E99" t="s">
        <v>24</v>
      </c>
      <c r="F99" t="s">
        <v>274</v>
      </c>
      <c r="G99">
        <v>72</v>
      </c>
      <c r="H99" t="s">
        <v>275</v>
      </c>
      <c r="I99">
        <v>268</v>
      </c>
      <c r="J99">
        <v>1909294</v>
      </c>
    </row>
    <row r="100" spans="4:10" x14ac:dyDescent="0.25">
      <c r="D100">
        <v>1</v>
      </c>
      <c r="E100" t="s">
        <v>155</v>
      </c>
      <c r="F100" t="s">
        <v>274</v>
      </c>
      <c r="G100">
        <v>72</v>
      </c>
      <c r="H100" t="s">
        <v>275</v>
      </c>
      <c r="I100">
        <v>269</v>
      </c>
      <c r="J100">
        <v>1909294</v>
      </c>
    </row>
    <row r="101" spans="4:10" x14ac:dyDescent="0.25">
      <c r="D101">
        <v>1</v>
      </c>
      <c r="E101" t="s">
        <v>16</v>
      </c>
      <c r="F101" t="s">
        <v>277</v>
      </c>
      <c r="G101">
        <v>110</v>
      </c>
      <c r="H101" t="s">
        <v>278</v>
      </c>
      <c r="I101">
        <v>25</v>
      </c>
      <c r="J101">
        <v>1910412</v>
      </c>
    </row>
    <row r="102" spans="4:10" x14ac:dyDescent="0.25">
      <c r="D102">
        <v>1</v>
      </c>
      <c r="E102" t="s">
        <v>16</v>
      </c>
      <c r="F102" t="s">
        <v>280</v>
      </c>
      <c r="G102">
        <v>110</v>
      </c>
      <c r="H102" t="s">
        <v>281</v>
      </c>
      <c r="I102">
        <v>49</v>
      </c>
      <c r="J102">
        <v>1910451</v>
      </c>
    </row>
    <row r="103" spans="4:10" x14ac:dyDescent="0.25">
      <c r="D103">
        <v>1</v>
      </c>
      <c r="E103" t="s">
        <v>43</v>
      </c>
      <c r="F103" t="s">
        <v>283</v>
      </c>
      <c r="G103">
        <v>110</v>
      </c>
      <c r="H103" t="s">
        <v>284</v>
      </c>
      <c r="I103">
        <v>50</v>
      </c>
      <c r="J103">
        <v>1910560</v>
      </c>
    </row>
    <row r="104" spans="4:10" x14ac:dyDescent="0.25">
      <c r="D104">
        <v>1</v>
      </c>
      <c r="E104" t="s">
        <v>35</v>
      </c>
      <c r="F104" t="s">
        <v>283</v>
      </c>
      <c r="G104">
        <v>110</v>
      </c>
      <c r="H104" t="s">
        <v>284</v>
      </c>
      <c r="I104">
        <v>51</v>
      </c>
      <c r="J104">
        <v>1910560</v>
      </c>
    </row>
    <row r="105" spans="4:10" x14ac:dyDescent="0.25">
      <c r="D105">
        <v>1</v>
      </c>
      <c r="E105" t="s">
        <v>50</v>
      </c>
      <c r="F105" t="s">
        <v>286</v>
      </c>
      <c r="G105">
        <v>106</v>
      </c>
      <c r="H105" t="s">
        <v>287</v>
      </c>
      <c r="I105">
        <v>38</v>
      </c>
      <c r="J105">
        <v>1912322</v>
      </c>
    </row>
    <row r="106" spans="4:10" x14ac:dyDescent="0.25">
      <c r="D106">
        <v>1</v>
      </c>
      <c r="E106" t="s">
        <v>12</v>
      </c>
      <c r="F106" t="s">
        <v>289</v>
      </c>
      <c r="G106">
        <v>77</v>
      </c>
      <c r="H106" t="s">
        <v>290</v>
      </c>
      <c r="I106">
        <v>116</v>
      </c>
      <c r="J106">
        <v>1912546</v>
      </c>
    </row>
    <row r="107" spans="4:10" x14ac:dyDescent="0.25">
      <c r="D107">
        <v>1</v>
      </c>
      <c r="E107" t="s">
        <v>12</v>
      </c>
      <c r="F107" t="s">
        <v>292</v>
      </c>
      <c r="G107">
        <v>42</v>
      </c>
      <c r="H107" t="s">
        <v>293</v>
      </c>
      <c r="I107">
        <v>215</v>
      </c>
      <c r="J107">
        <v>1913899</v>
      </c>
    </row>
    <row r="108" spans="4:10" x14ac:dyDescent="0.25">
      <c r="D108">
        <v>1</v>
      </c>
      <c r="E108" t="s">
        <v>107</v>
      </c>
      <c r="F108" t="s">
        <v>294</v>
      </c>
      <c r="G108">
        <v>42</v>
      </c>
      <c r="H108" t="s">
        <v>295</v>
      </c>
      <c r="I108">
        <v>217</v>
      </c>
      <c r="J108">
        <v>1913907</v>
      </c>
    </row>
    <row r="109" spans="4:10" x14ac:dyDescent="0.25">
      <c r="D109">
        <v>1</v>
      </c>
      <c r="E109" t="s">
        <v>43</v>
      </c>
      <c r="F109" t="s">
        <v>296</v>
      </c>
      <c r="G109">
        <v>42</v>
      </c>
      <c r="H109" t="s">
        <v>297</v>
      </c>
      <c r="I109">
        <v>218</v>
      </c>
      <c r="J109">
        <v>1913913</v>
      </c>
    </row>
    <row r="110" spans="4:10" x14ac:dyDescent="0.25">
      <c r="D110">
        <v>1</v>
      </c>
      <c r="E110" t="s">
        <v>255</v>
      </c>
      <c r="F110" t="s">
        <v>298</v>
      </c>
      <c r="G110">
        <v>42</v>
      </c>
      <c r="H110" t="s">
        <v>299</v>
      </c>
      <c r="I110">
        <v>216</v>
      </c>
      <c r="J110">
        <v>1913922</v>
      </c>
    </row>
    <row r="111" spans="4:10" x14ac:dyDescent="0.25">
      <c r="D111">
        <v>1</v>
      </c>
      <c r="E111" t="s">
        <v>64</v>
      </c>
      <c r="F111" t="s">
        <v>300</v>
      </c>
      <c r="G111">
        <v>82</v>
      </c>
      <c r="H111" t="s">
        <v>301</v>
      </c>
      <c r="I111">
        <v>147</v>
      </c>
      <c r="J111">
        <v>1914912</v>
      </c>
    </row>
    <row r="112" spans="4:10" x14ac:dyDescent="0.25">
      <c r="D112">
        <v>1</v>
      </c>
      <c r="E112" t="s">
        <v>12</v>
      </c>
      <c r="F112" t="s">
        <v>303</v>
      </c>
      <c r="G112">
        <v>82</v>
      </c>
      <c r="H112" t="s">
        <v>304</v>
      </c>
      <c r="I112">
        <v>143</v>
      </c>
      <c r="J112">
        <v>1914921</v>
      </c>
    </row>
    <row r="113" spans="4:10" x14ac:dyDescent="0.25">
      <c r="D113">
        <v>1</v>
      </c>
      <c r="E113" t="s">
        <v>12</v>
      </c>
      <c r="F113" t="s">
        <v>306</v>
      </c>
      <c r="G113">
        <v>72</v>
      </c>
      <c r="H113" t="s">
        <v>307</v>
      </c>
      <c r="I113">
        <v>150</v>
      </c>
      <c r="J113">
        <v>1916223</v>
      </c>
    </row>
    <row r="114" spans="4:10" x14ac:dyDescent="0.25">
      <c r="D114">
        <v>1</v>
      </c>
      <c r="E114" t="s">
        <v>24</v>
      </c>
      <c r="F114" t="s">
        <v>309</v>
      </c>
      <c r="G114">
        <v>9</v>
      </c>
      <c r="H114" t="s">
        <v>310</v>
      </c>
      <c r="I114">
        <v>113</v>
      </c>
      <c r="J114">
        <v>1916809</v>
      </c>
    </row>
    <row r="115" spans="4:10" x14ac:dyDescent="0.25">
      <c r="D115">
        <v>1</v>
      </c>
      <c r="E115" t="s">
        <v>16</v>
      </c>
      <c r="F115" t="s">
        <v>312</v>
      </c>
      <c r="G115">
        <v>42</v>
      </c>
      <c r="H115" t="s">
        <v>313</v>
      </c>
      <c r="I115">
        <v>310</v>
      </c>
      <c r="J115">
        <v>1918369</v>
      </c>
    </row>
    <row r="116" spans="4:10" x14ac:dyDescent="0.25">
      <c r="D116">
        <v>1</v>
      </c>
      <c r="E116" t="s">
        <v>50</v>
      </c>
      <c r="F116" t="s">
        <v>314</v>
      </c>
      <c r="G116">
        <v>42</v>
      </c>
      <c r="H116" t="s">
        <v>315</v>
      </c>
      <c r="I116">
        <v>307</v>
      </c>
      <c r="J116">
        <v>1918372</v>
      </c>
    </row>
    <row r="117" spans="4:10" x14ac:dyDescent="0.25">
      <c r="D117">
        <v>1</v>
      </c>
      <c r="E117" t="s">
        <v>31</v>
      </c>
      <c r="F117" t="s">
        <v>316</v>
      </c>
      <c r="G117">
        <v>42</v>
      </c>
      <c r="H117" t="s">
        <v>317</v>
      </c>
      <c r="I117">
        <v>306</v>
      </c>
      <c r="J117">
        <v>1918376</v>
      </c>
    </row>
    <row r="118" spans="4:10" x14ac:dyDescent="0.25">
      <c r="D118">
        <v>1</v>
      </c>
      <c r="E118" t="s">
        <v>50</v>
      </c>
      <c r="F118" t="s">
        <v>318</v>
      </c>
      <c r="G118">
        <v>42</v>
      </c>
      <c r="H118" t="s">
        <v>319</v>
      </c>
      <c r="I118">
        <v>302</v>
      </c>
      <c r="J118">
        <v>1918377</v>
      </c>
    </row>
    <row r="119" spans="4:10" x14ac:dyDescent="0.25">
      <c r="D119">
        <v>1</v>
      </c>
      <c r="E119" t="s">
        <v>54</v>
      </c>
      <c r="F119" t="s">
        <v>320</v>
      </c>
      <c r="G119">
        <v>42</v>
      </c>
      <c r="H119" t="s">
        <v>321</v>
      </c>
      <c r="I119">
        <v>303</v>
      </c>
      <c r="J119">
        <v>1918379</v>
      </c>
    </row>
    <row r="120" spans="4:10" x14ac:dyDescent="0.25">
      <c r="D120">
        <v>1</v>
      </c>
      <c r="E120" t="s">
        <v>39</v>
      </c>
      <c r="F120" t="s">
        <v>322</v>
      </c>
      <c r="G120">
        <v>42</v>
      </c>
      <c r="H120" t="s">
        <v>323</v>
      </c>
      <c r="I120">
        <v>10</v>
      </c>
      <c r="J120">
        <v>1918856</v>
      </c>
    </row>
    <row r="121" spans="4:10" x14ac:dyDescent="0.25">
      <c r="D121">
        <v>1</v>
      </c>
      <c r="E121" t="s">
        <v>43</v>
      </c>
      <c r="F121" t="s">
        <v>324</v>
      </c>
      <c r="G121">
        <v>42</v>
      </c>
      <c r="H121" t="s">
        <v>325</v>
      </c>
      <c r="I121">
        <v>12</v>
      </c>
      <c r="J121">
        <v>1918865</v>
      </c>
    </row>
    <row r="122" spans="4:10" x14ac:dyDescent="0.25">
      <c r="D122">
        <v>1</v>
      </c>
      <c r="E122" t="s">
        <v>255</v>
      </c>
      <c r="F122" t="s">
        <v>326</v>
      </c>
      <c r="G122">
        <v>42</v>
      </c>
      <c r="H122" t="s">
        <v>327</v>
      </c>
      <c r="I122">
        <v>65</v>
      </c>
      <c r="J122">
        <v>1919002</v>
      </c>
    </row>
    <row r="123" spans="4:10" x14ac:dyDescent="0.25">
      <c r="D123">
        <v>1</v>
      </c>
      <c r="E123" t="s">
        <v>24</v>
      </c>
      <c r="F123" t="s">
        <v>328</v>
      </c>
      <c r="G123">
        <v>108</v>
      </c>
      <c r="H123" t="s">
        <v>329</v>
      </c>
      <c r="I123">
        <v>7</v>
      </c>
      <c r="J123">
        <v>1919480</v>
      </c>
    </row>
    <row r="124" spans="4:10" x14ac:dyDescent="0.25">
      <c r="D124">
        <v>1</v>
      </c>
      <c r="E124" t="s">
        <v>43</v>
      </c>
      <c r="F124" t="s">
        <v>328</v>
      </c>
      <c r="G124">
        <v>108</v>
      </c>
      <c r="H124" t="s">
        <v>329</v>
      </c>
      <c r="I124">
        <v>13</v>
      </c>
      <c r="J124">
        <v>1919480</v>
      </c>
    </row>
    <row r="125" spans="4:10" x14ac:dyDescent="0.25">
      <c r="D125">
        <v>1</v>
      </c>
      <c r="E125" t="s">
        <v>16</v>
      </c>
      <c r="F125" t="s">
        <v>330</v>
      </c>
      <c r="G125">
        <v>108</v>
      </c>
      <c r="H125" t="s">
        <v>331</v>
      </c>
      <c r="I125">
        <v>63</v>
      </c>
      <c r="J125">
        <v>1919914</v>
      </c>
    </row>
    <row r="126" spans="4:10" x14ac:dyDescent="0.25">
      <c r="D126">
        <v>1</v>
      </c>
      <c r="E126" t="s">
        <v>35</v>
      </c>
      <c r="F126" t="s">
        <v>332</v>
      </c>
      <c r="G126">
        <v>82</v>
      </c>
      <c r="H126" t="s">
        <v>333</v>
      </c>
      <c r="I126">
        <v>60</v>
      </c>
      <c r="J126">
        <v>1920183</v>
      </c>
    </row>
    <row r="127" spans="4:10" x14ac:dyDescent="0.25">
      <c r="D127">
        <v>1</v>
      </c>
      <c r="E127" t="s">
        <v>24</v>
      </c>
      <c r="F127" t="s">
        <v>335</v>
      </c>
      <c r="G127">
        <v>42</v>
      </c>
      <c r="H127" t="s">
        <v>336</v>
      </c>
      <c r="I127">
        <v>112</v>
      </c>
      <c r="J127">
        <v>1920569</v>
      </c>
    </row>
    <row r="128" spans="4:10" x14ac:dyDescent="0.25">
      <c r="D128">
        <v>1</v>
      </c>
      <c r="E128" t="s">
        <v>43</v>
      </c>
      <c r="F128" t="s">
        <v>337</v>
      </c>
      <c r="G128">
        <v>77</v>
      </c>
      <c r="H128" t="s">
        <v>338</v>
      </c>
      <c r="I128">
        <v>48</v>
      </c>
      <c r="J128">
        <v>1924429</v>
      </c>
    </row>
    <row r="129" spans="4:10" x14ac:dyDescent="0.25">
      <c r="D129">
        <v>1</v>
      </c>
      <c r="E129" t="s">
        <v>255</v>
      </c>
      <c r="F129" t="s">
        <v>340</v>
      </c>
      <c r="G129">
        <v>104</v>
      </c>
      <c r="H129" t="s">
        <v>341</v>
      </c>
      <c r="I129">
        <v>173</v>
      </c>
      <c r="J129">
        <v>1925349</v>
      </c>
    </row>
    <row r="130" spans="4:10" x14ac:dyDescent="0.25">
      <c r="D130">
        <v>1</v>
      </c>
      <c r="E130" t="s">
        <v>107</v>
      </c>
      <c r="F130" t="s">
        <v>343</v>
      </c>
      <c r="G130">
        <v>104</v>
      </c>
      <c r="H130" t="s">
        <v>344</v>
      </c>
      <c r="I130">
        <v>265</v>
      </c>
      <c r="J130">
        <v>1925633</v>
      </c>
    </row>
    <row r="131" spans="4:10" x14ac:dyDescent="0.25">
      <c r="D131">
        <v>1</v>
      </c>
      <c r="E131" t="s">
        <v>12</v>
      </c>
      <c r="F131" t="s">
        <v>346</v>
      </c>
      <c r="G131">
        <v>104</v>
      </c>
      <c r="H131" t="s">
        <v>347</v>
      </c>
      <c r="I131">
        <v>263</v>
      </c>
      <c r="J131">
        <v>1925635</v>
      </c>
    </row>
    <row r="132" spans="4:10" x14ac:dyDescent="0.25">
      <c r="D132">
        <v>1</v>
      </c>
      <c r="E132" t="s">
        <v>64</v>
      </c>
      <c r="F132" t="s">
        <v>349</v>
      </c>
      <c r="G132">
        <v>31</v>
      </c>
      <c r="H132" t="s">
        <v>350</v>
      </c>
      <c r="I132">
        <v>53</v>
      </c>
      <c r="J132">
        <v>1926102</v>
      </c>
    </row>
    <row r="133" spans="4:10" x14ac:dyDescent="0.25">
      <c r="D133">
        <v>1</v>
      </c>
      <c r="E133" t="s">
        <v>16</v>
      </c>
      <c r="F133" t="s">
        <v>352</v>
      </c>
      <c r="G133">
        <v>153</v>
      </c>
      <c r="H133" t="s">
        <v>353</v>
      </c>
      <c r="I133">
        <v>33</v>
      </c>
      <c r="J133">
        <v>1926713</v>
      </c>
    </row>
    <row r="134" spans="4:10" x14ac:dyDescent="0.25">
      <c r="D134">
        <v>1</v>
      </c>
      <c r="E134" t="s">
        <v>16</v>
      </c>
      <c r="F134" t="s">
        <v>355</v>
      </c>
      <c r="G134">
        <v>42</v>
      </c>
      <c r="H134" t="s">
        <v>356</v>
      </c>
      <c r="I134">
        <v>93</v>
      </c>
      <c r="J134">
        <v>1926826</v>
      </c>
    </row>
    <row r="135" spans="4:10" x14ac:dyDescent="0.25">
      <c r="D135">
        <v>1</v>
      </c>
      <c r="E135" t="s">
        <v>54</v>
      </c>
      <c r="F135" t="s">
        <v>357</v>
      </c>
      <c r="G135">
        <v>42</v>
      </c>
      <c r="H135" t="s">
        <v>358</v>
      </c>
      <c r="I135">
        <v>89</v>
      </c>
      <c r="J135">
        <v>1926832</v>
      </c>
    </row>
    <row r="136" spans="4:10" x14ac:dyDescent="0.25">
      <c r="D136">
        <v>1</v>
      </c>
      <c r="E136" t="s">
        <v>35</v>
      </c>
      <c r="F136" t="s">
        <v>359</v>
      </c>
      <c r="G136">
        <v>42</v>
      </c>
      <c r="H136" t="s">
        <v>360</v>
      </c>
      <c r="I136">
        <v>88</v>
      </c>
      <c r="J136">
        <v>1926833</v>
      </c>
    </row>
    <row r="137" spans="4:10" x14ac:dyDescent="0.25">
      <c r="D137">
        <v>1</v>
      </c>
      <c r="E137" t="s">
        <v>183</v>
      </c>
      <c r="F137" t="s">
        <v>361</v>
      </c>
      <c r="G137">
        <v>113</v>
      </c>
      <c r="H137" t="s">
        <v>362</v>
      </c>
      <c r="I137">
        <v>153</v>
      </c>
      <c r="J137">
        <v>1927149</v>
      </c>
    </row>
    <row r="138" spans="4:10" x14ac:dyDescent="0.25">
      <c r="D138">
        <v>1</v>
      </c>
      <c r="E138" t="s">
        <v>20</v>
      </c>
      <c r="F138" t="s">
        <v>363</v>
      </c>
      <c r="G138">
        <v>102</v>
      </c>
      <c r="H138" t="s">
        <v>364</v>
      </c>
      <c r="I138">
        <v>205</v>
      </c>
      <c r="J138">
        <v>1927680</v>
      </c>
    </row>
    <row r="139" spans="4:10" x14ac:dyDescent="0.25">
      <c r="D139">
        <v>1</v>
      </c>
      <c r="E139" t="s">
        <v>20</v>
      </c>
      <c r="F139" t="s">
        <v>366</v>
      </c>
      <c r="G139">
        <v>42</v>
      </c>
      <c r="H139" t="s">
        <v>367</v>
      </c>
      <c r="I139">
        <v>289</v>
      </c>
      <c r="J139">
        <v>1927709</v>
      </c>
    </row>
    <row r="140" spans="4:10" x14ac:dyDescent="0.25">
      <c r="D140">
        <v>1</v>
      </c>
      <c r="E140" t="s">
        <v>255</v>
      </c>
      <c r="F140" t="s">
        <v>368</v>
      </c>
      <c r="G140">
        <v>61</v>
      </c>
      <c r="H140" t="s">
        <v>369</v>
      </c>
      <c r="I140">
        <v>42</v>
      </c>
      <c r="J140">
        <v>1929767</v>
      </c>
    </row>
    <row r="141" spans="4:10" x14ac:dyDescent="0.25">
      <c r="D141">
        <v>1</v>
      </c>
      <c r="E141" t="s">
        <v>16</v>
      </c>
      <c r="F141" t="s">
        <v>371</v>
      </c>
      <c r="G141">
        <v>62</v>
      </c>
      <c r="H141" t="s">
        <v>372</v>
      </c>
      <c r="I141">
        <v>186</v>
      </c>
      <c r="J141">
        <v>1932649</v>
      </c>
    </row>
    <row r="142" spans="4:10" x14ac:dyDescent="0.25">
      <c r="D142">
        <v>1</v>
      </c>
      <c r="E142" t="s">
        <v>183</v>
      </c>
      <c r="F142" t="s">
        <v>374</v>
      </c>
      <c r="G142">
        <v>109</v>
      </c>
      <c r="H142" t="s">
        <v>375</v>
      </c>
      <c r="I142">
        <v>175</v>
      </c>
      <c r="J142">
        <v>1935408</v>
      </c>
    </row>
    <row r="143" spans="4:10" x14ac:dyDescent="0.25">
      <c r="D143">
        <v>1</v>
      </c>
      <c r="E143" t="s">
        <v>31</v>
      </c>
      <c r="F143" t="s">
        <v>377</v>
      </c>
      <c r="G143">
        <v>93</v>
      </c>
      <c r="H143" t="s">
        <v>378</v>
      </c>
      <c r="I143">
        <v>185</v>
      </c>
      <c r="J143">
        <v>1936619</v>
      </c>
    </row>
    <row r="145" spans="4:10" x14ac:dyDescent="0.25">
      <c r="D145">
        <v>1</v>
      </c>
      <c r="E145" t="s">
        <v>54</v>
      </c>
      <c r="F145" t="s">
        <v>380</v>
      </c>
      <c r="G145">
        <v>29</v>
      </c>
      <c r="H145" t="s">
        <v>381</v>
      </c>
      <c r="I145">
        <v>23</v>
      </c>
      <c r="J145">
        <v>1936983</v>
      </c>
    </row>
    <row r="146" spans="4:10" x14ac:dyDescent="0.25">
      <c r="D146">
        <v>1</v>
      </c>
      <c r="E146" t="s">
        <v>155</v>
      </c>
      <c r="F146" t="s">
        <v>383</v>
      </c>
      <c r="G146">
        <v>3</v>
      </c>
      <c r="H146" t="s">
        <v>384</v>
      </c>
      <c r="I146">
        <v>293</v>
      </c>
      <c r="J146">
        <v>1937347</v>
      </c>
    </row>
    <row r="147" spans="4:10" x14ac:dyDescent="0.25">
      <c r="D147">
        <v>1</v>
      </c>
      <c r="E147" t="s">
        <v>39</v>
      </c>
      <c r="F147" t="s">
        <v>386</v>
      </c>
      <c r="G147">
        <v>41</v>
      </c>
      <c r="H147" t="s">
        <v>387</v>
      </c>
      <c r="I147">
        <v>226</v>
      </c>
      <c r="J147">
        <v>1937878</v>
      </c>
    </row>
    <row r="148" spans="4:10" x14ac:dyDescent="0.25">
      <c r="D148">
        <v>1</v>
      </c>
      <c r="E148" t="s">
        <v>16</v>
      </c>
      <c r="F148" t="s">
        <v>389</v>
      </c>
      <c r="G148">
        <v>153</v>
      </c>
      <c r="H148" t="s">
        <v>390</v>
      </c>
      <c r="I148">
        <v>163</v>
      </c>
      <c r="J148">
        <v>1939553</v>
      </c>
    </row>
    <row r="149" spans="4:10" x14ac:dyDescent="0.25">
      <c r="D149">
        <v>1</v>
      </c>
      <c r="E149" t="s">
        <v>50</v>
      </c>
      <c r="F149" t="s">
        <v>392</v>
      </c>
      <c r="G149">
        <v>108</v>
      </c>
      <c r="H149" t="s">
        <v>393</v>
      </c>
      <c r="I149">
        <v>314</v>
      </c>
      <c r="J149">
        <v>1939692</v>
      </c>
    </row>
    <row r="150" spans="4:10" x14ac:dyDescent="0.25">
      <c r="D150">
        <v>1</v>
      </c>
      <c r="E150" t="s">
        <v>31</v>
      </c>
      <c r="F150" t="s">
        <v>394</v>
      </c>
      <c r="G150">
        <v>108</v>
      </c>
      <c r="H150" t="s">
        <v>395</v>
      </c>
      <c r="I150">
        <v>325</v>
      </c>
      <c r="J150">
        <v>1939700</v>
      </c>
    </row>
    <row r="151" spans="4:10" x14ac:dyDescent="0.25">
      <c r="D151">
        <v>1</v>
      </c>
      <c r="E151" t="s">
        <v>31</v>
      </c>
      <c r="F151" t="s">
        <v>396</v>
      </c>
      <c r="G151">
        <v>108</v>
      </c>
      <c r="H151" t="s">
        <v>397</v>
      </c>
      <c r="I151">
        <v>323</v>
      </c>
      <c r="J151">
        <v>1939701</v>
      </c>
    </row>
    <row r="152" spans="4:10" x14ac:dyDescent="0.25">
      <c r="D152">
        <v>1</v>
      </c>
      <c r="E152" t="s">
        <v>16</v>
      </c>
      <c r="F152" t="s">
        <v>398</v>
      </c>
      <c r="G152">
        <v>108</v>
      </c>
      <c r="H152" t="s">
        <v>399</v>
      </c>
      <c r="I152">
        <v>321</v>
      </c>
      <c r="J152">
        <v>1939702</v>
      </c>
    </row>
    <row r="153" spans="4:10" x14ac:dyDescent="0.25">
      <c r="D153">
        <v>1</v>
      </c>
      <c r="E153" t="s">
        <v>35</v>
      </c>
      <c r="F153" t="s">
        <v>400</v>
      </c>
      <c r="G153">
        <v>108</v>
      </c>
      <c r="H153" t="s">
        <v>401</v>
      </c>
      <c r="I153">
        <v>320</v>
      </c>
      <c r="J153">
        <v>1939710</v>
      </c>
    </row>
    <row r="154" spans="4:10" x14ac:dyDescent="0.25">
      <c r="D154">
        <v>1</v>
      </c>
      <c r="E154" t="s">
        <v>54</v>
      </c>
      <c r="F154" t="s">
        <v>402</v>
      </c>
      <c r="G154">
        <v>108</v>
      </c>
      <c r="H154" t="s">
        <v>403</v>
      </c>
      <c r="I154">
        <v>319</v>
      </c>
      <c r="J154">
        <v>1939711</v>
      </c>
    </row>
    <row r="155" spans="4:10" x14ac:dyDescent="0.25">
      <c r="D155">
        <v>1</v>
      </c>
      <c r="E155" t="s">
        <v>64</v>
      </c>
      <c r="F155" t="s">
        <v>404</v>
      </c>
      <c r="G155">
        <v>108</v>
      </c>
      <c r="H155" t="s">
        <v>405</v>
      </c>
      <c r="I155">
        <v>312</v>
      </c>
      <c r="J155">
        <v>1939713</v>
      </c>
    </row>
    <row r="156" spans="4:10" x14ac:dyDescent="0.25">
      <c r="D156">
        <v>1</v>
      </c>
      <c r="E156" t="s">
        <v>35</v>
      </c>
      <c r="F156" t="s">
        <v>406</v>
      </c>
      <c r="G156">
        <v>108</v>
      </c>
      <c r="H156" t="s">
        <v>407</v>
      </c>
      <c r="I156">
        <v>324</v>
      </c>
      <c r="J156">
        <v>1939714</v>
      </c>
    </row>
    <row r="157" spans="4:10" x14ac:dyDescent="0.25">
      <c r="D157">
        <v>1</v>
      </c>
      <c r="E157" t="s">
        <v>50</v>
      </c>
      <c r="F157" t="s">
        <v>408</v>
      </c>
      <c r="G157">
        <v>13</v>
      </c>
      <c r="H157" t="s">
        <v>409</v>
      </c>
      <c r="I157">
        <v>57</v>
      </c>
      <c r="J157">
        <v>1939839</v>
      </c>
    </row>
    <row r="158" spans="4:10" x14ac:dyDescent="0.25">
      <c r="D158">
        <v>1</v>
      </c>
      <c r="E158" t="s">
        <v>155</v>
      </c>
      <c r="F158" t="s">
        <v>411</v>
      </c>
      <c r="G158">
        <v>13</v>
      </c>
      <c r="H158" t="s">
        <v>412</v>
      </c>
      <c r="I158">
        <v>114</v>
      </c>
      <c r="J158">
        <v>1940127</v>
      </c>
    </row>
    <row r="159" spans="4:10" x14ac:dyDescent="0.25">
      <c r="D159">
        <v>1</v>
      </c>
      <c r="E159" t="s">
        <v>183</v>
      </c>
      <c r="F159" t="s">
        <v>414</v>
      </c>
      <c r="G159">
        <v>13</v>
      </c>
      <c r="H159" t="s">
        <v>415</v>
      </c>
      <c r="I159">
        <v>121</v>
      </c>
      <c r="J159">
        <v>1940173</v>
      </c>
    </row>
    <row r="160" spans="4:10" x14ac:dyDescent="0.25">
      <c r="D160">
        <v>1</v>
      </c>
      <c r="E160" t="s">
        <v>107</v>
      </c>
      <c r="F160" t="s">
        <v>417</v>
      </c>
      <c r="G160">
        <v>13</v>
      </c>
      <c r="H160" t="s">
        <v>418</v>
      </c>
      <c r="I160">
        <v>97</v>
      </c>
      <c r="J160">
        <v>1940205</v>
      </c>
    </row>
    <row r="161" spans="4:10" x14ac:dyDescent="0.25">
      <c r="D161">
        <v>1</v>
      </c>
      <c r="E161" t="s">
        <v>24</v>
      </c>
      <c r="F161" t="s">
        <v>417</v>
      </c>
      <c r="G161">
        <v>13</v>
      </c>
      <c r="H161" t="s">
        <v>418</v>
      </c>
      <c r="I161">
        <v>99</v>
      </c>
      <c r="J161">
        <v>1940205</v>
      </c>
    </row>
    <row r="162" spans="4:10" x14ac:dyDescent="0.25">
      <c r="D162">
        <v>1</v>
      </c>
      <c r="E162" t="s">
        <v>43</v>
      </c>
      <c r="F162" t="s">
        <v>420</v>
      </c>
      <c r="G162">
        <v>13</v>
      </c>
      <c r="H162" t="s">
        <v>421</v>
      </c>
      <c r="I162">
        <v>101</v>
      </c>
      <c r="J162">
        <v>1940209</v>
      </c>
    </row>
    <row r="163" spans="4:10" x14ac:dyDescent="0.25">
      <c r="D163">
        <v>1</v>
      </c>
      <c r="E163" t="s">
        <v>54</v>
      </c>
      <c r="F163" t="s">
        <v>423</v>
      </c>
      <c r="G163">
        <v>94</v>
      </c>
      <c r="H163" t="s">
        <v>424</v>
      </c>
      <c r="I163">
        <v>237</v>
      </c>
      <c r="J163">
        <v>1940329</v>
      </c>
    </row>
    <row r="164" spans="4:10" x14ac:dyDescent="0.25">
      <c r="D164">
        <v>1</v>
      </c>
      <c r="E164" t="s">
        <v>54</v>
      </c>
      <c r="F164" t="s">
        <v>426</v>
      </c>
      <c r="G164">
        <v>94</v>
      </c>
      <c r="H164" t="s">
        <v>427</v>
      </c>
      <c r="I164">
        <v>308</v>
      </c>
      <c r="J164">
        <v>1941786</v>
      </c>
    </row>
    <row r="165" spans="4:10" x14ac:dyDescent="0.25">
      <c r="D165">
        <v>1</v>
      </c>
      <c r="E165" t="s">
        <v>54</v>
      </c>
      <c r="F165" t="s">
        <v>429</v>
      </c>
      <c r="G165">
        <v>153</v>
      </c>
      <c r="H165" t="s">
        <v>430</v>
      </c>
      <c r="I165">
        <v>130</v>
      </c>
      <c r="J165">
        <v>1945040</v>
      </c>
    </row>
    <row r="166" spans="4:10" x14ac:dyDescent="0.25">
      <c r="D166">
        <v>1</v>
      </c>
      <c r="E166" t="s">
        <v>31</v>
      </c>
      <c r="F166" t="s">
        <v>429</v>
      </c>
      <c r="G166">
        <v>153</v>
      </c>
      <c r="H166" t="s">
        <v>430</v>
      </c>
      <c r="I166">
        <v>129</v>
      </c>
      <c r="J166">
        <v>1945040</v>
      </c>
    </row>
    <row r="167" spans="4:10" x14ac:dyDescent="0.25">
      <c r="D167">
        <v>1</v>
      </c>
      <c r="E167" t="s">
        <v>24</v>
      </c>
      <c r="F167" t="s">
        <v>432</v>
      </c>
      <c r="G167">
        <v>42</v>
      </c>
      <c r="H167" t="s">
        <v>433</v>
      </c>
      <c r="I167">
        <v>258</v>
      </c>
      <c r="J167">
        <v>1945148</v>
      </c>
    </row>
    <row r="168" spans="4:10" x14ac:dyDescent="0.25">
      <c r="D168">
        <v>1</v>
      </c>
      <c r="E168" t="s">
        <v>16</v>
      </c>
      <c r="F168" t="s">
        <v>434</v>
      </c>
      <c r="G168">
        <v>153</v>
      </c>
      <c r="H168" t="s">
        <v>435</v>
      </c>
      <c r="I168">
        <v>107</v>
      </c>
      <c r="J168">
        <v>1945383</v>
      </c>
    </row>
    <row r="169" spans="4:10" x14ac:dyDescent="0.25">
      <c r="D169">
        <v>1</v>
      </c>
      <c r="E169" t="s">
        <v>43</v>
      </c>
      <c r="F169" t="s">
        <v>437</v>
      </c>
      <c r="G169">
        <v>153</v>
      </c>
      <c r="H169" t="s">
        <v>438</v>
      </c>
      <c r="I169">
        <v>100</v>
      </c>
      <c r="J169">
        <v>1945386</v>
      </c>
    </row>
    <row r="170" spans="4:10" x14ac:dyDescent="0.25">
      <c r="D170">
        <v>1</v>
      </c>
      <c r="E170" t="s">
        <v>50</v>
      </c>
      <c r="F170" t="s">
        <v>440</v>
      </c>
      <c r="G170">
        <v>13</v>
      </c>
      <c r="H170" t="s">
        <v>441</v>
      </c>
      <c r="I170">
        <v>207</v>
      </c>
      <c r="J170">
        <v>1945990</v>
      </c>
    </row>
    <row r="171" spans="4:10" x14ac:dyDescent="0.25">
      <c r="D171">
        <v>1</v>
      </c>
      <c r="E171" t="s">
        <v>64</v>
      </c>
      <c r="F171" t="s">
        <v>443</v>
      </c>
      <c r="G171">
        <v>13</v>
      </c>
      <c r="H171" t="s">
        <v>444</v>
      </c>
      <c r="I171">
        <v>232</v>
      </c>
      <c r="J171">
        <v>1946064</v>
      </c>
    </row>
    <row r="172" spans="4:10" x14ac:dyDescent="0.25">
      <c r="D172">
        <v>1</v>
      </c>
      <c r="E172" t="s">
        <v>50</v>
      </c>
      <c r="F172" t="s">
        <v>446</v>
      </c>
      <c r="G172">
        <v>13</v>
      </c>
      <c r="H172" t="s">
        <v>447</v>
      </c>
      <c r="I172">
        <v>233</v>
      </c>
      <c r="J172">
        <v>1946074</v>
      </c>
    </row>
    <row r="173" spans="4:10" x14ac:dyDescent="0.25">
      <c r="D173">
        <v>1</v>
      </c>
      <c r="E173" t="s">
        <v>183</v>
      </c>
      <c r="F173" t="s">
        <v>449</v>
      </c>
      <c r="G173">
        <v>13</v>
      </c>
      <c r="H173" t="s">
        <v>450</v>
      </c>
      <c r="I173">
        <v>243</v>
      </c>
      <c r="J173">
        <v>1946150</v>
      </c>
    </row>
    <row r="174" spans="4:10" x14ac:dyDescent="0.25">
      <c r="D174">
        <v>1</v>
      </c>
      <c r="E174" t="s">
        <v>12</v>
      </c>
      <c r="F174" t="s">
        <v>452</v>
      </c>
      <c r="G174">
        <v>13</v>
      </c>
      <c r="H174" t="s">
        <v>453</v>
      </c>
      <c r="I174">
        <v>242</v>
      </c>
      <c r="J174">
        <v>1946218</v>
      </c>
    </row>
    <row r="175" spans="4:10" x14ac:dyDescent="0.25">
      <c r="D175">
        <v>1</v>
      </c>
      <c r="E175" t="s">
        <v>35</v>
      </c>
      <c r="F175" t="s">
        <v>455</v>
      </c>
      <c r="G175">
        <v>207</v>
      </c>
      <c r="H175" t="s">
        <v>456</v>
      </c>
      <c r="I175">
        <v>282</v>
      </c>
      <c r="J175">
        <v>1947737</v>
      </c>
    </row>
    <row r="176" spans="4:10" x14ac:dyDescent="0.25">
      <c r="D176">
        <v>1</v>
      </c>
      <c r="E176" t="s">
        <v>43</v>
      </c>
      <c r="F176" t="s">
        <v>458</v>
      </c>
      <c r="G176">
        <v>30</v>
      </c>
      <c r="H176" t="s">
        <v>459</v>
      </c>
      <c r="I176">
        <v>19</v>
      </c>
      <c r="J176">
        <v>1953634</v>
      </c>
    </row>
    <row r="177" spans="4:10" x14ac:dyDescent="0.25">
      <c r="D177">
        <v>1</v>
      </c>
      <c r="E177" t="s">
        <v>155</v>
      </c>
      <c r="F177" t="s">
        <v>461</v>
      </c>
      <c r="G177">
        <v>30</v>
      </c>
      <c r="H177" t="s">
        <v>462</v>
      </c>
      <c r="I177">
        <v>174</v>
      </c>
      <c r="J177">
        <v>1953777</v>
      </c>
    </row>
    <row r="178" spans="4:10" x14ac:dyDescent="0.25">
      <c r="D178">
        <v>1</v>
      </c>
      <c r="E178" t="s">
        <v>12</v>
      </c>
      <c r="F178" t="s">
        <v>464</v>
      </c>
      <c r="G178">
        <v>37</v>
      </c>
      <c r="H178" t="s">
        <v>465</v>
      </c>
      <c r="I178">
        <v>170</v>
      </c>
      <c r="J178">
        <v>1955526</v>
      </c>
    </row>
    <row r="179" spans="4:10" x14ac:dyDescent="0.25">
      <c r="D179">
        <v>1</v>
      </c>
      <c r="E179" t="s">
        <v>39</v>
      </c>
      <c r="F179" t="s">
        <v>467</v>
      </c>
      <c r="G179">
        <v>186</v>
      </c>
      <c r="H179" t="s">
        <v>468</v>
      </c>
      <c r="I179">
        <v>288</v>
      </c>
      <c r="J179">
        <v>1956398</v>
      </c>
    </row>
    <row r="180" spans="4:10" x14ac:dyDescent="0.25">
      <c r="D180">
        <v>1</v>
      </c>
      <c r="E180" t="s">
        <v>24</v>
      </c>
      <c r="F180" t="s">
        <v>470</v>
      </c>
      <c r="G180">
        <v>86</v>
      </c>
      <c r="H180" t="s">
        <v>471</v>
      </c>
      <c r="I180">
        <v>225</v>
      </c>
      <c r="J180">
        <v>1958899</v>
      </c>
    </row>
    <row r="181" spans="4:10" x14ac:dyDescent="0.25">
      <c r="D181">
        <v>1</v>
      </c>
      <c r="E181" t="s">
        <v>64</v>
      </c>
      <c r="F181" t="s">
        <v>473</v>
      </c>
      <c r="G181">
        <v>84</v>
      </c>
      <c r="H181" t="s">
        <v>474</v>
      </c>
      <c r="I181">
        <v>35</v>
      </c>
      <c r="J181">
        <v>1961246</v>
      </c>
    </row>
    <row r="182" spans="4:10" x14ac:dyDescent="0.25">
      <c r="D182">
        <v>1</v>
      </c>
      <c r="E182" t="s">
        <v>12</v>
      </c>
      <c r="F182" t="s">
        <v>476</v>
      </c>
      <c r="G182">
        <v>172</v>
      </c>
      <c r="H182" t="s">
        <v>477</v>
      </c>
      <c r="I182">
        <v>248</v>
      </c>
      <c r="J182">
        <v>1962589</v>
      </c>
    </row>
    <row r="183" spans="4:10" x14ac:dyDescent="0.25">
      <c r="D183">
        <v>1</v>
      </c>
      <c r="E183" t="s">
        <v>12</v>
      </c>
      <c r="F183" t="s">
        <v>479</v>
      </c>
      <c r="G183">
        <v>91</v>
      </c>
      <c r="H183" t="s">
        <v>480</v>
      </c>
      <c r="I183">
        <v>152</v>
      </c>
      <c r="J183">
        <v>1963245</v>
      </c>
    </row>
    <row r="184" spans="4:10" x14ac:dyDescent="0.25">
      <c r="D184">
        <v>1</v>
      </c>
      <c r="E184" t="s">
        <v>183</v>
      </c>
      <c r="F184" t="s">
        <v>481</v>
      </c>
      <c r="G184">
        <v>91</v>
      </c>
      <c r="H184" t="s">
        <v>482</v>
      </c>
      <c r="I184">
        <v>148</v>
      </c>
      <c r="J184">
        <v>1963262</v>
      </c>
    </row>
    <row r="185" spans="4:10" x14ac:dyDescent="0.25">
      <c r="D185">
        <v>1</v>
      </c>
      <c r="E185" t="s">
        <v>16</v>
      </c>
      <c r="F185" t="s">
        <v>483</v>
      </c>
      <c r="G185">
        <v>37</v>
      </c>
      <c r="H185" t="s">
        <v>484</v>
      </c>
      <c r="I185">
        <v>110</v>
      </c>
      <c r="J185">
        <v>1964547</v>
      </c>
    </row>
    <row r="186" spans="4:10" x14ac:dyDescent="0.25">
      <c r="D186">
        <v>1</v>
      </c>
      <c r="E186" t="s">
        <v>20</v>
      </c>
      <c r="F186" t="s">
        <v>486</v>
      </c>
      <c r="G186">
        <v>147</v>
      </c>
      <c r="H186" t="s">
        <v>487</v>
      </c>
      <c r="I186">
        <v>195</v>
      </c>
      <c r="J186">
        <v>1965558</v>
      </c>
    </row>
    <row r="187" spans="4:10" x14ac:dyDescent="0.25">
      <c r="D187">
        <v>1</v>
      </c>
      <c r="E187" t="s">
        <v>35</v>
      </c>
      <c r="F187" t="s">
        <v>489</v>
      </c>
      <c r="G187">
        <v>147</v>
      </c>
      <c r="H187" t="s">
        <v>490</v>
      </c>
      <c r="I187">
        <v>123</v>
      </c>
      <c r="J187">
        <v>1969182</v>
      </c>
    </row>
    <row r="188" spans="4:10" x14ac:dyDescent="0.25">
      <c r="D188">
        <v>1</v>
      </c>
      <c r="E188" t="s">
        <v>31</v>
      </c>
      <c r="F188" t="s">
        <v>489</v>
      </c>
      <c r="G188">
        <v>147</v>
      </c>
      <c r="H188" t="s">
        <v>490</v>
      </c>
      <c r="I188">
        <v>124</v>
      </c>
      <c r="J188">
        <v>1969182</v>
      </c>
    </row>
    <row r="189" spans="4:10" x14ac:dyDescent="0.25">
      <c r="D189">
        <v>1</v>
      </c>
      <c r="E189" t="s">
        <v>50</v>
      </c>
      <c r="F189" t="s">
        <v>492</v>
      </c>
      <c r="G189">
        <v>147</v>
      </c>
      <c r="H189" t="s">
        <v>493</v>
      </c>
      <c r="I189">
        <v>211</v>
      </c>
      <c r="J189">
        <v>1970500</v>
      </c>
    </row>
    <row r="190" spans="4:10" x14ac:dyDescent="0.25">
      <c r="D190">
        <v>1</v>
      </c>
      <c r="E190" t="s">
        <v>155</v>
      </c>
      <c r="F190" t="s">
        <v>495</v>
      </c>
      <c r="G190">
        <v>211</v>
      </c>
      <c r="H190" t="s">
        <v>496</v>
      </c>
      <c r="I190">
        <v>28</v>
      </c>
      <c r="J190">
        <v>1970827</v>
      </c>
    </row>
    <row r="191" spans="4:10" x14ac:dyDescent="0.25">
      <c r="D191">
        <v>1</v>
      </c>
      <c r="E191" t="s">
        <v>31</v>
      </c>
      <c r="F191" t="s">
        <v>498</v>
      </c>
      <c r="G191">
        <v>147</v>
      </c>
      <c r="H191" t="s">
        <v>499</v>
      </c>
      <c r="I191">
        <v>52</v>
      </c>
      <c r="J191">
        <v>1972105</v>
      </c>
    </row>
    <row r="192" spans="4:10" x14ac:dyDescent="0.25">
      <c r="D192">
        <v>1</v>
      </c>
      <c r="E192" t="s">
        <v>12</v>
      </c>
      <c r="F192" t="s">
        <v>501</v>
      </c>
      <c r="G192">
        <v>15</v>
      </c>
      <c r="H192" t="s">
        <v>502</v>
      </c>
      <c r="I192">
        <v>177</v>
      </c>
      <c r="J192">
        <v>1972337</v>
      </c>
    </row>
    <row r="193" spans="4:10" x14ac:dyDescent="0.25">
      <c r="D193">
        <v>1</v>
      </c>
      <c r="E193" t="s">
        <v>255</v>
      </c>
      <c r="F193" t="s">
        <v>504</v>
      </c>
      <c r="G193">
        <v>15</v>
      </c>
      <c r="H193" t="s">
        <v>505</v>
      </c>
      <c r="I193">
        <v>180</v>
      </c>
      <c r="J193">
        <v>1972367</v>
      </c>
    </row>
    <row r="194" spans="4:10" x14ac:dyDescent="0.25">
      <c r="D194">
        <v>1</v>
      </c>
      <c r="E194" t="s">
        <v>39</v>
      </c>
      <c r="F194" t="s">
        <v>507</v>
      </c>
      <c r="G194">
        <v>37</v>
      </c>
      <c r="H194" t="s">
        <v>508</v>
      </c>
      <c r="I194">
        <v>39</v>
      </c>
      <c r="J194">
        <v>1974151</v>
      </c>
    </row>
    <row r="195" spans="4:10" x14ac:dyDescent="0.25">
      <c r="D195">
        <v>1</v>
      </c>
      <c r="E195" t="s">
        <v>64</v>
      </c>
      <c r="F195" t="s">
        <v>510</v>
      </c>
      <c r="G195">
        <v>37</v>
      </c>
      <c r="H195" t="s">
        <v>511</v>
      </c>
      <c r="I195">
        <v>62</v>
      </c>
      <c r="J195">
        <v>1974290</v>
      </c>
    </row>
    <row r="196" spans="4:10" x14ac:dyDescent="0.25">
      <c r="D196">
        <v>1</v>
      </c>
      <c r="E196" t="s">
        <v>20</v>
      </c>
      <c r="F196" t="s">
        <v>513</v>
      </c>
      <c r="G196">
        <v>160</v>
      </c>
      <c r="H196" t="s">
        <v>514</v>
      </c>
      <c r="I196">
        <v>8</v>
      </c>
      <c r="J196">
        <v>1975874</v>
      </c>
    </row>
    <row r="197" spans="4:10" x14ac:dyDescent="0.25">
      <c r="D197">
        <v>1</v>
      </c>
      <c r="E197" t="s">
        <v>39</v>
      </c>
      <c r="F197" t="s">
        <v>513</v>
      </c>
      <c r="G197">
        <v>160</v>
      </c>
      <c r="H197" t="s">
        <v>514</v>
      </c>
      <c r="I197">
        <v>11</v>
      </c>
      <c r="J197">
        <v>1975874</v>
      </c>
    </row>
    <row r="198" spans="4:10" x14ac:dyDescent="0.25">
      <c r="D198">
        <v>1</v>
      </c>
      <c r="E198" t="s">
        <v>155</v>
      </c>
      <c r="F198" t="s">
        <v>516</v>
      </c>
      <c r="G198">
        <v>191</v>
      </c>
      <c r="H198" t="s">
        <v>517</v>
      </c>
      <c r="I198">
        <v>222</v>
      </c>
      <c r="J198">
        <v>1977709</v>
      </c>
    </row>
    <row r="199" spans="4:10" x14ac:dyDescent="0.25">
      <c r="D199">
        <v>1</v>
      </c>
      <c r="E199" t="s">
        <v>8</v>
      </c>
      <c r="F199" t="s">
        <v>519</v>
      </c>
      <c r="G199">
        <v>182</v>
      </c>
      <c r="H199" t="s">
        <v>520</v>
      </c>
      <c r="I199">
        <v>171</v>
      </c>
      <c r="J199">
        <v>1980833</v>
      </c>
    </row>
    <row r="200" spans="4:10" x14ac:dyDescent="0.25">
      <c r="D200">
        <v>1</v>
      </c>
      <c r="E200" t="s">
        <v>16</v>
      </c>
      <c r="F200" t="s">
        <v>522</v>
      </c>
      <c r="G200">
        <v>182</v>
      </c>
      <c r="H200" t="s">
        <v>523</v>
      </c>
      <c r="I200">
        <v>234</v>
      </c>
      <c r="J200">
        <v>1981131</v>
      </c>
    </row>
    <row r="201" spans="4:10" x14ac:dyDescent="0.25">
      <c r="D201">
        <v>2</v>
      </c>
      <c r="E201" t="s">
        <v>50</v>
      </c>
      <c r="F201" t="s">
        <v>525</v>
      </c>
      <c r="G201">
        <v>10</v>
      </c>
      <c r="H201" t="s">
        <v>526</v>
      </c>
      <c r="I201">
        <v>316</v>
      </c>
      <c r="J201">
        <v>1532872</v>
      </c>
    </row>
    <row r="202" spans="4:10" x14ac:dyDescent="0.25">
      <c r="D202">
        <v>2</v>
      </c>
      <c r="E202" t="s">
        <v>20</v>
      </c>
      <c r="F202" t="s">
        <v>528</v>
      </c>
      <c r="G202">
        <v>106</v>
      </c>
      <c r="H202" t="s">
        <v>529</v>
      </c>
      <c r="I202">
        <v>59</v>
      </c>
      <c r="J202">
        <v>1536885</v>
      </c>
    </row>
    <row r="203" spans="4:10" x14ac:dyDescent="0.25">
      <c r="D203">
        <v>2</v>
      </c>
      <c r="E203" t="s">
        <v>107</v>
      </c>
      <c r="F203" t="s">
        <v>531</v>
      </c>
      <c r="G203">
        <v>104</v>
      </c>
      <c r="H203" t="s">
        <v>532</v>
      </c>
      <c r="I203">
        <v>217</v>
      </c>
      <c r="J203">
        <v>1551388</v>
      </c>
    </row>
    <row r="204" spans="4:10" x14ac:dyDescent="0.25">
      <c r="D204">
        <v>2</v>
      </c>
      <c r="E204" t="s">
        <v>35</v>
      </c>
      <c r="F204" t="s">
        <v>534</v>
      </c>
      <c r="G204">
        <v>133</v>
      </c>
      <c r="H204" t="s">
        <v>535</v>
      </c>
      <c r="I204">
        <v>84</v>
      </c>
      <c r="J204">
        <v>1535187</v>
      </c>
    </row>
    <row r="205" spans="4:10" x14ac:dyDescent="0.25">
      <c r="D205">
        <v>2</v>
      </c>
      <c r="E205" t="s">
        <v>155</v>
      </c>
      <c r="F205" t="s">
        <v>537</v>
      </c>
      <c r="G205">
        <v>68</v>
      </c>
      <c r="H205" t="s">
        <v>538</v>
      </c>
      <c r="I205">
        <v>28</v>
      </c>
      <c r="J205">
        <v>1536998</v>
      </c>
    </row>
    <row r="206" spans="4:10" x14ac:dyDescent="0.25">
      <c r="D206">
        <v>2</v>
      </c>
      <c r="E206" t="s">
        <v>8</v>
      </c>
      <c r="F206" t="s">
        <v>540</v>
      </c>
      <c r="G206">
        <v>133</v>
      </c>
      <c r="H206" t="s">
        <v>541</v>
      </c>
      <c r="I206">
        <v>171</v>
      </c>
      <c r="J206">
        <v>1537287</v>
      </c>
    </row>
    <row r="207" spans="4:10" x14ac:dyDescent="0.25">
      <c r="D207">
        <v>2</v>
      </c>
      <c r="E207" t="s">
        <v>43</v>
      </c>
      <c r="F207" t="s">
        <v>543</v>
      </c>
      <c r="G207">
        <v>68</v>
      </c>
      <c r="H207" t="s">
        <v>544</v>
      </c>
      <c r="I207">
        <v>48</v>
      </c>
      <c r="J207">
        <v>1536498</v>
      </c>
    </row>
    <row r="208" spans="4:10" x14ac:dyDescent="0.25">
      <c r="D208">
        <v>2</v>
      </c>
      <c r="E208" t="s">
        <v>35</v>
      </c>
      <c r="F208" t="s">
        <v>546</v>
      </c>
      <c r="G208">
        <v>98</v>
      </c>
      <c r="H208" t="s">
        <v>547</v>
      </c>
      <c r="I208">
        <v>282</v>
      </c>
      <c r="J208">
        <v>1536058</v>
      </c>
    </row>
    <row r="209" spans="4:10" x14ac:dyDescent="0.25">
      <c r="D209">
        <v>2</v>
      </c>
      <c r="E209" t="s">
        <v>54</v>
      </c>
      <c r="F209" t="s">
        <v>549</v>
      </c>
      <c r="G209">
        <v>98</v>
      </c>
      <c r="H209" t="s">
        <v>550</v>
      </c>
      <c r="I209">
        <v>285</v>
      </c>
      <c r="J209">
        <v>1536067</v>
      </c>
    </row>
    <row r="210" spans="4:10" x14ac:dyDescent="0.25">
      <c r="D210">
        <v>2</v>
      </c>
      <c r="E210" t="s">
        <v>8</v>
      </c>
      <c r="F210" t="s">
        <v>552</v>
      </c>
      <c r="G210">
        <v>80</v>
      </c>
      <c r="H210" t="s">
        <v>553</v>
      </c>
      <c r="I210">
        <v>178</v>
      </c>
      <c r="J210">
        <v>1546651</v>
      </c>
    </row>
    <row r="211" spans="4:10" x14ac:dyDescent="0.25">
      <c r="D211">
        <v>2</v>
      </c>
      <c r="E211" t="s">
        <v>64</v>
      </c>
      <c r="F211" t="s">
        <v>21</v>
      </c>
      <c r="G211">
        <v>122</v>
      </c>
      <c r="H211" t="s">
        <v>22</v>
      </c>
      <c r="I211">
        <v>46</v>
      </c>
      <c r="J211">
        <v>1537325</v>
      </c>
    </row>
    <row r="212" spans="4:10" x14ac:dyDescent="0.25">
      <c r="D212">
        <v>2</v>
      </c>
      <c r="E212" t="s">
        <v>107</v>
      </c>
      <c r="F212" t="s">
        <v>555</v>
      </c>
      <c r="G212">
        <v>114</v>
      </c>
      <c r="H212" t="s">
        <v>556</v>
      </c>
      <c r="I212">
        <v>169</v>
      </c>
      <c r="J212">
        <v>1550162</v>
      </c>
    </row>
    <row r="213" spans="4:10" x14ac:dyDescent="0.25">
      <c r="D213">
        <v>2</v>
      </c>
      <c r="E213" t="s">
        <v>54</v>
      </c>
      <c r="F213" t="s">
        <v>558</v>
      </c>
      <c r="G213">
        <v>107</v>
      </c>
      <c r="H213" t="s">
        <v>559</v>
      </c>
      <c r="I213">
        <v>281</v>
      </c>
      <c r="J213">
        <v>1537401</v>
      </c>
    </row>
    <row r="214" spans="4:10" x14ac:dyDescent="0.25">
      <c r="D214">
        <v>2</v>
      </c>
      <c r="E214" t="s">
        <v>20</v>
      </c>
      <c r="F214" t="s">
        <v>561</v>
      </c>
      <c r="G214">
        <v>3</v>
      </c>
      <c r="H214" t="s">
        <v>562</v>
      </c>
      <c r="I214">
        <v>196</v>
      </c>
      <c r="J214">
        <v>1538160</v>
      </c>
    </row>
    <row r="215" spans="4:10" x14ac:dyDescent="0.25">
      <c r="D215">
        <v>2</v>
      </c>
      <c r="E215" t="s">
        <v>16</v>
      </c>
      <c r="F215" t="s">
        <v>564</v>
      </c>
      <c r="G215">
        <v>98</v>
      </c>
      <c r="H215" t="s">
        <v>565</v>
      </c>
      <c r="I215">
        <v>329</v>
      </c>
      <c r="J215">
        <v>1543088</v>
      </c>
    </row>
    <row r="216" spans="4:10" x14ac:dyDescent="0.25">
      <c r="D216">
        <v>2</v>
      </c>
      <c r="E216" t="s">
        <v>35</v>
      </c>
      <c r="F216" t="s">
        <v>567</v>
      </c>
      <c r="G216">
        <v>48</v>
      </c>
      <c r="H216" t="s">
        <v>568</v>
      </c>
      <c r="I216">
        <v>309</v>
      </c>
      <c r="J216">
        <v>1543506</v>
      </c>
    </row>
    <row r="217" spans="4:10" x14ac:dyDescent="0.25">
      <c r="D217">
        <v>2</v>
      </c>
      <c r="E217" t="s">
        <v>35</v>
      </c>
      <c r="F217" t="s">
        <v>570</v>
      </c>
      <c r="G217">
        <v>48</v>
      </c>
      <c r="H217" t="s">
        <v>571</v>
      </c>
      <c r="I217">
        <v>304</v>
      </c>
      <c r="J217">
        <v>1543509</v>
      </c>
    </row>
    <row r="218" spans="4:10" x14ac:dyDescent="0.25">
      <c r="D218">
        <v>2</v>
      </c>
      <c r="E218" t="s">
        <v>50</v>
      </c>
      <c r="F218" t="s">
        <v>573</v>
      </c>
      <c r="G218">
        <v>171</v>
      </c>
      <c r="H218" t="s">
        <v>574</v>
      </c>
      <c r="I218">
        <v>302</v>
      </c>
      <c r="J218">
        <v>1550148</v>
      </c>
    </row>
    <row r="219" spans="4:10" x14ac:dyDescent="0.25">
      <c r="D219">
        <v>2</v>
      </c>
      <c r="E219" t="s">
        <v>16</v>
      </c>
      <c r="F219" t="s">
        <v>576</v>
      </c>
      <c r="G219">
        <v>10</v>
      </c>
      <c r="H219" t="s">
        <v>577</v>
      </c>
      <c r="I219">
        <v>311</v>
      </c>
      <c r="J219">
        <v>1544424</v>
      </c>
    </row>
    <row r="220" spans="4:10" x14ac:dyDescent="0.25">
      <c r="D220">
        <v>2</v>
      </c>
      <c r="E220" t="s">
        <v>54</v>
      </c>
      <c r="F220" t="s">
        <v>579</v>
      </c>
      <c r="G220">
        <v>95</v>
      </c>
      <c r="H220" t="s">
        <v>580</v>
      </c>
      <c r="I220">
        <v>40</v>
      </c>
      <c r="J220">
        <v>1550250</v>
      </c>
    </row>
    <row r="221" spans="4:10" x14ac:dyDescent="0.25">
      <c r="D221">
        <v>2</v>
      </c>
      <c r="E221" t="s">
        <v>35</v>
      </c>
      <c r="F221" t="s">
        <v>582</v>
      </c>
      <c r="G221">
        <v>98</v>
      </c>
      <c r="H221" t="s">
        <v>583</v>
      </c>
      <c r="I221">
        <v>327</v>
      </c>
      <c r="J221">
        <v>1544803</v>
      </c>
    </row>
    <row r="222" spans="4:10" x14ac:dyDescent="0.25">
      <c r="D222">
        <v>2</v>
      </c>
      <c r="E222" t="s">
        <v>31</v>
      </c>
      <c r="F222" t="s">
        <v>585</v>
      </c>
      <c r="G222">
        <v>98</v>
      </c>
      <c r="H222" t="s">
        <v>586</v>
      </c>
      <c r="I222">
        <v>325</v>
      </c>
      <c r="J222">
        <v>1544830</v>
      </c>
    </row>
    <row r="223" spans="4:10" x14ac:dyDescent="0.25">
      <c r="D223">
        <v>2</v>
      </c>
      <c r="E223" t="s">
        <v>54</v>
      </c>
      <c r="F223" t="s">
        <v>588</v>
      </c>
      <c r="G223">
        <v>98</v>
      </c>
      <c r="H223" t="s">
        <v>589</v>
      </c>
      <c r="I223">
        <v>315</v>
      </c>
      <c r="J223">
        <v>1544880</v>
      </c>
    </row>
    <row r="224" spans="4:10" x14ac:dyDescent="0.25">
      <c r="D224">
        <v>2</v>
      </c>
      <c r="E224" t="s">
        <v>31</v>
      </c>
      <c r="F224" t="s">
        <v>591</v>
      </c>
      <c r="G224">
        <v>72</v>
      </c>
      <c r="H224" t="s">
        <v>592</v>
      </c>
      <c r="I224">
        <v>185</v>
      </c>
      <c r="J224">
        <v>1545116</v>
      </c>
    </row>
    <row r="225" spans="4:10" x14ac:dyDescent="0.25">
      <c r="D225">
        <v>2</v>
      </c>
      <c r="E225" t="s">
        <v>54</v>
      </c>
      <c r="F225" t="s">
        <v>594</v>
      </c>
      <c r="G225">
        <v>212</v>
      </c>
      <c r="H225" t="s">
        <v>595</v>
      </c>
      <c r="I225">
        <v>313</v>
      </c>
      <c r="J225">
        <v>1550119</v>
      </c>
    </row>
    <row r="226" spans="4:10" x14ac:dyDescent="0.25">
      <c r="D226">
        <v>2</v>
      </c>
      <c r="E226" t="s">
        <v>35</v>
      </c>
      <c r="F226" t="s">
        <v>597</v>
      </c>
      <c r="G226">
        <v>33</v>
      </c>
      <c r="H226" t="s">
        <v>598</v>
      </c>
      <c r="I226">
        <v>187</v>
      </c>
      <c r="J226">
        <v>1548948</v>
      </c>
    </row>
    <row r="227" spans="4:10" x14ac:dyDescent="0.25">
      <c r="D227">
        <v>2</v>
      </c>
      <c r="E227" t="s">
        <v>16</v>
      </c>
      <c r="F227" t="s">
        <v>599</v>
      </c>
      <c r="G227">
        <v>216</v>
      </c>
      <c r="H227" t="s">
        <v>600</v>
      </c>
      <c r="I227">
        <v>310</v>
      </c>
      <c r="J227">
        <v>1551307</v>
      </c>
    </row>
    <row r="228" spans="4:10" x14ac:dyDescent="0.25">
      <c r="D228">
        <v>2</v>
      </c>
      <c r="E228" t="s">
        <v>35</v>
      </c>
      <c r="F228" t="s">
        <v>602</v>
      </c>
      <c r="G228">
        <v>104</v>
      </c>
      <c r="H228" t="s">
        <v>603</v>
      </c>
      <c r="I228">
        <v>51</v>
      </c>
      <c r="J228">
        <v>1552305</v>
      </c>
    </row>
    <row r="229" spans="4:10" x14ac:dyDescent="0.25">
      <c r="D229">
        <v>2</v>
      </c>
      <c r="E229" t="s">
        <v>255</v>
      </c>
      <c r="F229" t="s">
        <v>605</v>
      </c>
      <c r="G229">
        <v>80</v>
      </c>
      <c r="H229" t="s">
        <v>606</v>
      </c>
      <c r="I229">
        <v>180</v>
      </c>
      <c r="J229">
        <v>1552370</v>
      </c>
    </row>
    <row r="230" spans="4:10" x14ac:dyDescent="0.25">
      <c r="D230">
        <v>2</v>
      </c>
      <c r="E230" t="s">
        <v>31</v>
      </c>
      <c r="F230" t="s">
        <v>608</v>
      </c>
      <c r="G230">
        <v>80</v>
      </c>
      <c r="H230" t="s">
        <v>609</v>
      </c>
      <c r="I230">
        <v>328</v>
      </c>
      <c r="J230">
        <v>1552495</v>
      </c>
    </row>
    <row r="231" spans="4:10" x14ac:dyDescent="0.25">
      <c r="D231">
        <v>2</v>
      </c>
      <c r="E231" t="s">
        <v>20</v>
      </c>
      <c r="F231" t="s">
        <v>611</v>
      </c>
      <c r="G231">
        <v>53</v>
      </c>
      <c r="H231" t="s">
        <v>612</v>
      </c>
      <c r="I231">
        <v>289</v>
      </c>
      <c r="J231">
        <v>1554972</v>
      </c>
    </row>
    <row r="232" spans="4:10" x14ac:dyDescent="0.25">
      <c r="D232">
        <v>2</v>
      </c>
      <c r="E232" t="s">
        <v>255</v>
      </c>
      <c r="F232" t="s">
        <v>614</v>
      </c>
      <c r="G232">
        <v>212</v>
      </c>
      <c r="H232" t="s">
        <v>615</v>
      </c>
      <c r="I232">
        <v>216</v>
      </c>
      <c r="J232">
        <v>1555976</v>
      </c>
    </row>
    <row r="233" spans="4:10" x14ac:dyDescent="0.25">
      <c r="D233">
        <v>2</v>
      </c>
      <c r="E233" t="s">
        <v>54</v>
      </c>
      <c r="F233" t="s">
        <v>617</v>
      </c>
      <c r="G233">
        <v>72</v>
      </c>
      <c r="H233" t="s">
        <v>618</v>
      </c>
      <c r="I233">
        <v>210</v>
      </c>
      <c r="J233">
        <v>1559512</v>
      </c>
    </row>
    <row r="234" spans="4:10" x14ac:dyDescent="0.25">
      <c r="D234">
        <v>2</v>
      </c>
      <c r="E234" t="s">
        <v>16</v>
      </c>
      <c r="F234" t="s">
        <v>620</v>
      </c>
      <c r="G234">
        <v>62</v>
      </c>
      <c r="H234" t="s">
        <v>621</v>
      </c>
      <c r="I234">
        <v>305</v>
      </c>
      <c r="J234">
        <v>1563010</v>
      </c>
    </row>
    <row r="235" spans="4:10" x14ac:dyDescent="0.25">
      <c r="D235">
        <v>2</v>
      </c>
      <c r="E235" t="s">
        <v>24</v>
      </c>
      <c r="F235" t="s">
        <v>623</v>
      </c>
      <c r="G235">
        <v>82</v>
      </c>
      <c r="H235" t="s">
        <v>624</v>
      </c>
      <c r="I235">
        <v>172</v>
      </c>
      <c r="J235">
        <v>1563082</v>
      </c>
    </row>
    <row r="236" spans="4:10" x14ac:dyDescent="0.25">
      <c r="D236">
        <v>2</v>
      </c>
      <c r="E236" t="s">
        <v>39</v>
      </c>
      <c r="F236" t="s">
        <v>626</v>
      </c>
      <c r="G236">
        <v>194</v>
      </c>
      <c r="H236" t="s">
        <v>627</v>
      </c>
      <c r="I236">
        <v>275</v>
      </c>
      <c r="J236">
        <v>1563390</v>
      </c>
    </row>
    <row r="237" spans="4:10" x14ac:dyDescent="0.25">
      <c r="D237">
        <v>2</v>
      </c>
      <c r="E237" t="s">
        <v>39</v>
      </c>
      <c r="F237" t="s">
        <v>629</v>
      </c>
      <c r="G237">
        <v>66</v>
      </c>
      <c r="H237" t="s">
        <v>630</v>
      </c>
      <c r="I237">
        <v>288</v>
      </c>
      <c r="J237">
        <v>1563682</v>
      </c>
    </row>
    <row r="238" spans="4:10" x14ac:dyDescent="0.25">
      <c r="D238">
        <v>2</v>
      </c>
      <c r="E238" t="s">
        <v>35</v>
      </c>
      <c r="F238" t="s">
        <v>632</v>
      </c>
      <c r="G238">
        <v>208</v>
      </c>
      <c r="H238" t="s">
        <v>633</v>
      </c>
      <c r="I238">
        <v>88</v>
      </c>
      <c r="J238">
        <v>1568182</v>
      </c>
    </row>
    <row r="239" spans="4:10" x14ac:dyDescent="0.25">
      <c r="D239">
        <v>2</v>
      </c>
      <c r="E239" t="s">
        <v>54</v>
      </c>
      <c r="F239" t="s">
        <v>635</v>
      </c>
      <c r="G239">
        <v>208</v>
      </c>
      <c r="H239" t="s">
        <v>636</v>
      </c>
      <c r="I239">
        <v>89</v>
      </c>
      <c r="J239">
        <v>1568186</v>
      </c>
    </row>
    <row r="240" spans="4:10" x14ac:dyDescent="0.25">
      <c r="D240">
        <v>2</v>
      </c>
      <c r="E240" t="s">
        <v>64</v>
      </c>
      <c r="F240" t="s">
        <v>638</v>
      </c>
      <c r="G240">
        <v>111</v>
      </c>
      <c r="H240" t="s">
        <v>639</v>
      </c>
      <c r="I240">
        <v>322</v>
      </c>
      <c r="J240">
        <v>1568241</v>
      </c>
    </row>
    <row r="241" spans="4:10" x14ac:dyDescent="0.25">
      <c r="D241">
        <v>2</v>
      </c>
      <c r="E241" t="s">
        <v>16</v>
      </c>
      <c r="F241" t="s">
        <v>641</v>
      </c>
      <c r="G241">
        <v>93</v>
      </c>
      <c r="H241" t="s">
        <v>642</v>
      </c>
      <c r="I241">
        <v>107</v>
      </c>
      <c r="J241">
        <v>1568350</v>
      </c>
    </row>
    <row r="242" spans="4:10" x14ac:dyDescent="0.25">
      <c r="D242">
        <v>2</v>
      </c>
      <c r="E242" t="s">
        <v>16</v>
      </c>
      <c r="F242" t="s">
        <v>644</v>
      </c>
      <c r="G242">
        <v>164</v>
      </c>
      <c r="H242" t="s">
        <v>645</v>
      </c>
      <c r="I242">
        <v>90</v>
      </c>
      <c r="J242">
        <v>1568655</v>
      </c>
    </row>
    <row r="243" spans="4:10" x14ac:dyDescent="0.25">
      <c r="D243">
        <v>2</v>
      </c>
      <c r="E243" t="s">
        <v>16</v>
      </c>
      <c r="F243" t="s">
        <v>647</v>
      </c>
      <c r="G243">
        <v>93</v>
      </c>
      <c r="H243" t="s">
        <v>648</v>
      </c>
      <c r="I243">
        <v>102</v>
      </c>
      <c r="J243">
        <v>1570863</v>
      </c>
    </row>
    <row r="244" spans="4:10" x14ac:dyDescent="0.25">
      <c r="D244">
        <v>2</v>
      </c>
      <c r="E244" t="s">
        <v>50</v>
      </c>
      <c r="F244" t="s">
        <v>650</v>
      </c>
      <c r="G244">
        <v>54</v>
      </c>
      <c r="H244" t="s">
        <v>651</v>
      </c>
      <c r="I244">
        <v>318</v>
      </c>
      <c r="J244">
        <v>1571747</v>
      </c>
    </row>
    <row r="245" spans="4:10" x14ac:dyDescent="0.25">
      <c r="D245">
        <v>2</v>
      </c>
      <c r="E245" t="s">
        <v>35</v>
      </c>
      <c r="F245" t="s">
        <v>653</v>
      </c>
      <c r="G245">
        <v>131</v>
      </c>
      <c r="H245" t="s">
        <v>654</v>
      </c>
      <c r="I245">
        <v>320</v>
      </c>
      <c r="J245">
        <v>1572203</v>
      </c>
    </row>
    <row r="246" spans="4:10" x14ac:dyDescent="0.25">
      <c r="D246">
        <v>2</v>
      </c>
      <c r="E246" t="s">
        <v>12</v>
      </c>
      <c r="F246" t="s">
        <v>656</v>
      </c>
      <c r="G246">
        <v>194</v>
      </c>
      <c r="H246" t="s">
        <v>657</v>
      </c>
      <c r="I246">
        <v>215</v>
      </c>
      <c r="J246">
        <v>1572919</v>
      </c>
    </row>
    <row r="247" spans="4:10" x14ac:dyDescent="0.25">
      <c r="D247">
        <v>2</v>
      </c>
      <c r="E247" t="s">
        <v>31</v>
      </c>
      <c r="F247" t="s">
        <v>659</v>
      </c>
      <c r="G247">
        <v>164</v>
      </c>
      <c r="H247" t="s">
        <v>660</v>
      </c>
      <c r="I247">
        <v>132</v>
      </c>
      <c r="J247">
        <v>1572953</v>
      </c>
    </row>
    <row r="248" spans="4:10" x14ac:dyDescent="0.25">
      <c r="D248">
        <v>2</v>
      </c>
      <c r="E248" t="s">
        <v>16</v>
      </c>
      <c r="F248" t="s">
        <v>662</v>
      </c>
      <c r="G248">
        <v>111</v>
      </c>
      <c r="H248" t="s">
        <v>663</v>
      </c>
      <c r="I248">
        <v>82</v>
      </c>
      <c r="J248">
        <v>1878687</v>
      </c>
    </row>
    <row r="249" spans="4:10" x14ac:dyDescent="0.25">
      <c r="D249">
        <v>2</v>
      </c>
      <c r="E249" t="s">
        <v>54</v>
      </c>
      <c r="F249" t="s">
        <v>665</v>
      </c>
      <c r="G249">
        <v>72</v>
      </c>
      <c r="H249" t="s">
        <v>666</v>
      </c>
      <c r="I249">
        <v>81</v>
      </c>
      <c r="J249">
        <v>1879110</v>
      </c>
    </row>
    <row r="250" spans="4:10" x14ac:dyDescent="0.25">
      <c r="D250">
        <v>2</v>
      </c>
      <c r="E250" t="s">
        <v>50</v>
      </c>
      <c r="F250" t="s">
        <v>668</v>
      </c>
      <c r="G250">
        <v>72</v>
      </c>
      <c r="H250" t="s">
        <v>669</v>
      </c>
      <c r="I250">
        <v>83</v>
      </c>
      <c r="J250">
        <v>1879111</v>
      </c>
    </row>
    <row r="251" spans="4:10" x14ac:dyDescent="0.25">
      <c r="D251">
        <v>2</v>
      </c>
      <c r="E251" t="s">
        <v>255</v>
      </c>
      <c r="F251" t="s">
        <v>671</v>
      </c>
      <c r="G251">
        <v>72</v>
      </c>
      <c r="H251" t="s">
        <v>672</v>
      </c>
      <c r="I251">
        <v>96</v>
      </c>
      <c r="J251">
        <v>1880464</v>
      </c>
    </row>
    <row r="252" spans="4:10" x14ac:dyDescent="0.25">
      <c r="D252">
        <v>2</v>
      </c>
      <c r="E252" t="s">
        <v>43</v>
      </c>
      <c r="F252" t="s">
        <v>674</v>
      </c>
      <c r="G252">
        <v>72</v>
      </c>
      <c r="H252" t="s">
        <v>675</v>
      </c>
      <c r="I252">
        <v>101</v>
      </c>
      <c r="J252">
        <v>1880483</v>
      </c>
    </row>
    <row r="253" spans="4:10" x14ac:dyDescent="0.25">
      <c r="D253">
        <v>2</v>
      </c>
      <c r="E253" t="s">
        <v>16</v>
      </c>
      <c r="F253" t="s">
        <v>677</v>
      </c>
      <c r="G253">
        <v>216</v>
      </c>
      <c r="H253" t="s">
        <v>678</v>
      </c>
      <c r="I253">
        <v>287</v>
      </c>
      <c r="J253">
        <v>1887768</v>
      </c>
    </row>
    <row r="254" spans="4:10" x14ac:dyDescent="0.25">
      <c r="D254">
        <v>2</v>
      </c>
      <c r="E254" t="s">
        <v>16</v>
      </c>
      <c r="F254" t="s">
        <v>680</v>
      </c>
      <c r="G254">
        <v>108</v>
      </c>
      <c r="H254" t="s">
        <v>681</v>
      </c>
      <c r="I254">
        <v>186</v>
      </c>
      <c r="J254">
        <v>1887939</v>
      </c>
    </row>
    <row r="255" spans="4:10" x14ac:dyDescent="0.25">
      <c r="D255">
        <v>2</v>
      </c>
      <c r="E255" t="s">
        <v>20</v>
      </c>
      <c r="F255" t="s">
        <v>682</v>
      </c>
      <c r="G255">
        <v>72</v>
      </c>
      <c r="H255" t="s">
        <v>683</v>
      </c>
      <c r="I255">
        <v>224</v>
      </c>
      <c r="J255">
        <v>1888429</v>
      </c>
    </row>
    <row r="256" spans="4:10" x14ac:dyDescent="0.25">
      <c r="D256">
        <v>2</v>
      </c>
      <c r="E256" t="s">
        <v>31</v>
      </c>
      <c r="F256" t="s">
        <v>685</v>
      </c>
      <c r="G256">
        <v>82</v>
      </c>
      <c r="H256" t="s">
        <v>686</v>
      </c>
      <c r="I256">
        <v>129</v>
      </c>
      <c r="J256">
        <v>1889704</v>
      </c>
    </row>
    <row r="257" spans="4:10" x14ac:dyDescent="0.25">
      <c r="D257">
        <v>2</v>
      </c>
      <c r="E257" t="s">
        <v>183</v>
      </c>
      <c r="F257" t="s">
        <v>688</v>
      </c>
      <c r="G257">
        <v>72</v>
      </c>
      <c r="H257" t="s">
        <v>689</v>
      </c>
      <c r="I257">
        <v>175</v>
      </c>
      <c r="J257">
        <v>1891304</v>
      </c>
    </row>
    <row r="258" spans="4:10" x14ac:dyDescent="0.25">
      <c r="D258">
        <v>2</v>
      </c>
      <c r="E258" t="s">
        <v>12</v>
      </c>
      <c r="F258" t="s">
        <v>691</v>
      </c>
      <c r="G258">
        <v>72</v>
      </c>
      <c r="H258" t="s">
        <v>692</v>
      </c>
      <c r="I258">
        <v>177</v>
      </c>
      <c r="J258">
        <v>1891311</v>
      </c>
    </row>
    <row r="259" spans="4:10" x14ac:dyDescent="0.25">
      <c r="D259">
        <v>2</v>
      </c>
      <c r="E259" t="s">
        <v>16</v>
      </c>
      <c r="F259" t="s">
        <v>694</v>
      </c>
      <c r="G259">
        <v>108</v>
      </c>
      <c r="H259" t="s">
        <v>695</v>
      </c>
      <c r="I259">
        <v>139</v>
      </c>
      <c r="J259">
        <v>1891685</v>
      </c>
    </row>
    <row r="260" spans="4:10" x14ac:dyDescent="0.25">
      <c r="D260">
        <v>2</v>
      </c>
      <c r="E260" t="s">
        <v>35</v>
      </c>
      <c r="F260" t="s">
        <v>696</v>
      </c>
      <c r="G260">
        <v>108</v>
      </c>
      <c r="H260" t="s">
        <v>697</v>
      </c>
      <c r="I260">
        <v>236</v>
      </c>
      <c r="J260">
        <v>1892022</v>
      </c>
    </row>
    <row r="261" spans="4:10" x14ac:dyDescent="0.25">
      <c r="D261">
        <v>2</v>
      </c>
      <c r="E261" t="s">
        <v>16</v>
      </c>
      <c r="F261" t="s">
        <v>698</v>
      </c>
      <c r="G261">
        <v>82</v>
      </c>
      <c r="H261" t="s">
        <v>699</v>
      </c>
      <c r="I261">
        <v>163</v>
      </c>
      <c r="J261">
        <v>1892506</v>
      </c>
    </row>
    <row r="262" spans="4:10" x14ac:dyDescent="0.25">
      <c r="D262">
        <v>2</v>
      </c>
      <c r="E262" t="s">
        <v>255</v>
      </c>
      <c r="F262" t="s">
        <v>701</v>
      </c>
      <c r="G262">
        <v>102</v>
      </c>
      <c r="H262" t="s">
        <v>702</v>
      </c>
      <c r="I262">
        <v>173</v>
      </c>
      <c r="J262">
        <v>1892794</v>
      </c>
    </row>
    <row r="263" spans="4:10" x14ac:dyDescent="0.25">
      <c r="D263">
        <v>2</v>
      </c>
      <c r="E263" t="s">
        <v>155</v>
      </c>
      <c r="F263" t="s">
        <v>704</v>
      </c>
      <c r="G263">
        <v>102</v>
      </c>
      <c r="H263" t="s">
        <v>705</v>
      </c>
      <c r="I263">
        <v>174</v>
      </c>
      <c r="J263">
        <v>1892796</v>
      </c>
    </row>
    <row r="264" spans="4:10" x14ac:dyDescent="0.25">
      <c r="D264">
        <v>2</v>
      </c>
      <c r="E264" t="s">
        <v>43</v>
      </c>
      <c r="F264" t="s">
        <v>707</v>
      </c>
      <c r="G264">
        <v>113</v>
      </c>
      <c r="H264" t="s">
        <v>708</v>
      </c>
      <c r="I264">
        <v>218</v>
      </c>
      <c r="J264">
        <v>1893852</v>
      </c>
    </row>
    <row r="265" spans="4:10" x14ac:dyDescent="0.25">
      <c r="D265">
        <v>2</v>
      </c>
      <c r="E265" t="s">
        <v>107</v>
      </c>
      <c r="F265" t="s">
        <v>709</v>
      </c>
      <c r="G265">
        <v>113</v>
      </c>
      <c r="H265" t="s">
        <v>710</v>
      </c>
      <c r="I265">
        <v>223</v>
      </c>
      <c r="J265">
        <v>1893930</v>
      </c>
    </row>
    <row r="266" spans="4:10" x14ac:dyDescent="0.25">
      <c r="D266">
        <v>2</v>
      </c>
      <c r="E266" t="s">
        <v>35</v>
      </c>
      <c r="F266" t="s">
        <v>711</v>
      </c>
      <c r="G266">
        <v>151</v>
      </c>
      <c r="H266" t="s">
        <v>712</v>
      </c>
      <c r="I266">
        <v>32</v>
      </c>
      <c r="J266">
        <v>1894095</v>
      </c>
    </row>
    <row r="267" spans="4:10" x14ac:dyDescent="0.25">
      <c r="D267">
        <v>2</v>
      </c>
      <c r="E267" t="s">
        <v>31</v>
      </c>
      <c r="F267" t="s">
        <v>714</v>
      </c>
      <c r="G267">
        <v>113</v>
      </c>
      <c r="H267" t="s">
        <v>715</v>
      </c>
      <c r="I267">
        <v>306</v>
      </c>
      <c r="J267">
        <v>1894414</v>
      </c>
    </row>
    <row r="268" spans="4:10" x14ac:dyDescent="0.25">
      <c r="D268">
        <v>2</v>
      </c>
      <c r="E268" t="s">
        <v>50</v>
      </c>
      <c r="F268" t="s">
        <v>716</v>
      </c>
      <c r="G268">
        <v>57</v>
      </c>
      <c r="H268" t="s">
        <v>717</v>
      </c>
      <c r="I268">
        <v>211</v>
      </c>
      <c r="J268">
        <v>1895121</v>
      </c>
    </row>
    <row r="269" spans="4:10" x14ac:dyDescent="0.25">
      <c r="D269">
        <v>2</v>
      </c>
      <c r="E269" t="s">
        <v>155</v>
      </c>
      <c r="F269" t="s">
        <v>719</v>
      </c>
      <c r="G269">
        <v>72</v>
      </c>
      <c r="H269" t="s">
        <v>720</v>
      </c>
      <c r="I269">
        <v>115</v>
      </c>
      <c r="J269">
        <v>1895640</v>
      </c>
    </row>
    <row r="270" spans="4:10" x14ac:dyDescent="0.25">
      <c r="D270">
        <v>2</v>
      </c>
      <c r="E270" t="s">
        <v>12</v>
      </c>
      <c r="F270" t="s">
        <v>722</v>
      </c>
      <c r="G270">
        <v>72</v>
      </c>
      <c r="H270" t="s">
        <v>723</v>
      </c>
      <c r="I270">
        <v>116</v>
      </c>
      <c r="J270">
        <v>1895687</v>
      </c>
    </row>
    <row r="271" spans="4:10" x14ac:dyDescent="0.25">
      <c r="D271">
        <v>2</v>
      </c>
      <c r="E271" t="s">
        <v>20</v>
      </c>
      <c r="F271" t="s">
        <v>725</v>
      </c>
      <c r="G271">
        <v>72</v>
      </c>
      <c r="H271" t="s">
        <v>726</v>
      </c>
      <c r="I271">
        <v>118</v>
      </c>
      <c r="J271">
        <v>1895699</v>
      </c>
    </row>
    <row r="272" spans="4:10" x14ac:dyDescent="0.25">
      <c r="D272">
        <v>2</v>
      </c>
      <c r="E272" t="s">
        <v>12</v>
      </c>
      <c r="F272" t="s">
        <v>728</v>
      </c>
      <c r="G272">
        <v>77</v>
      </c>
      <c r="H272" t="s">
        <v>729</v>
      </c>
      <c r="I272">
        <v>98</v>
      </c>
      <c r="J272">
        <v>1896030</v>
      </c>
    </row>
    <row r="273" spans="4:10" x14ac:dyDescent="0.25">
      <c r="D273">
        <v>2</v>
      </c>
      <c r="E273" t="s">
        <v>43</v>
      </c>
      <c r="F273" t="s">
        <v>731</v>
      </c>
      <c r="G273">
        <v>77</v>
      </c>
      <c r="H273" t="s">
        <v>732</v>
      </c>
      <c r="I273">
        <v>100</v>
      </c>
      <c r="J273">
        <v>1896032</v>
      </c>
    </row>
    <row r="274" spans="4:10" x14ac:dyDescent="0.25">
      <c r="D274">
        <v>2</v>
      </c>
      <c r="E274" t="s">
        <v>16</v>
      </c>
      <c r="F274" t="s">
        <v>734</v>
      </c>
      <c r="G274">
        <v>77</v>
      </c>
      <c r="H274" t="s">
        <v>735</v>
      </c>
      <c r="I274">
        <v>283</v>
      </c>
      <c r="J274">
        <v>1896149</v>
      </c>
    </row>
    <row r="275" spans="4:10" x14ac:dyDescent="0.25">
      <c r="D275">
        <v>2</v>
      </c>
      <c r="E275" t="s">
        <v>24</v>
      </c>
      <c r="F275" t="s">
        <v>737</v>
      </c>
      <c r="G275">
        <v>108</v>
      </c>
      <c r="H275" t="s">
        <v>738</v>
      </c>
      <c r="I275">
        <v>179</v>
      </c>
      <c r="J275">
        <v>1896750</v>
      </c>
    </row>
    <row r="276" spans="4:10" x14ac:dyDescent="0.25">
      <c r="D276">
        <v>2</v>
      </c>
      <c r="E276" t="s">
        <v>16</v>
      </c>
      <c r="F276" t="s">
        <v>739</v>
      </c>
      <c r="G276">
        <v>212</v>
      </c>
      <c r="H276" t="s">
        <v>740</v>
      </c>
      <c r="I276">
        <v>321</v>
      </c>
      <c r="J276">
        <v>1897022</v>
      </c>
    </row>
    <row r="277" spans="4:10" x14ac:dyDescent="0.25">
      <c r="D277">
        <v>2</v>
      </c>
      <c r="E277" t="s">
        <v>43</v>
      </c>
      <c r="F277" t="s">
        <v>742</v>
      </c>
      <c r="G277">
        <v>212</v>
      </c>
      <c r="H277" t="s">
        <v>743</v>
      </c>
      <c r="I277">
        <v>12</v>
      </c>
      <c r="J277">
        <v>1897555</v>
      </c>
    </row>
    <row r="278" spans="4:10" x14ac:dyDescent="0.25">
      <c r="D278">
        <v>2</v>
      </c>
      <c r="E278" t="s">
        <v>50</v>
      </c>
      <c r="F278" t="s">
        <v>745</v>
      </c>
      <c r="G278">
        <v>200</v>
      </c>
      <c r="H278" t="s">
        <v>746</v>
      </c>
      <c r="I278">
        <v>307</v>
      </c>
      <c r="J278">
        <v>1898059</v>
      </c>
    </row>
    <row r="279" spans="4:10" x14ac:dyDescent="0.25">
      <c r="D279">
        <v>2</v>
      </c>
      <c r="E279" t="s">
        <v>54</v>
      </c>
      <c r="F279" t="s">
        <v>748</v>
      </c>
      <c r="G279">
        <v>200</v>
      </c>
      <c r="H279" t="s">
        <v>749</v>
      </c>
      <c r="I279">
        <v>308</v>
      </c>
      <c r="J279">
        <v>1898067</v>
      </c>
    </row>
    <row r="280" spans="4:10" x14ac:dyDescent="0.25">
      <c r="D280">
        <v>2</v>
      </c>
      <c r="E280" t="s">
        <v>31</v>
      </c>
      <c r="F280" t="s">
        <v>751</v>
      </c>
      <c r="G280">
        <v>68</v>
      </c>
      <c r="H280" t="s">
        <v>752</v>
      </c>
      <c r="I280">
        <v>52</v>
      </c>
      <c r="J280">
        <v>1901487</v>
      </c>
    </row>
    <row r="281" spans="4:10" x14ac:dyDescent="0.25">
      <c r="D281">
        <v>2</v>
      </c>
      <c r="E281" t="s">
        <v>64</v>
      </c>
      <c r="F281" t="s">
        <v>754</v>
      </c>
      <c r="G281">
        <v>42</v>
      </c>
      <c r="H281" t="s">
        <v>755</v>
      </c>
      <c r="I281">
        <v>135</v>
      </c>
      <c r="J281">
        <v>1901544</v>
      </c>
    </row>
    <row r="282" spans="4:10" x14ac:dyDescent="0.25">
      <c r="D282">
        <v>2</v>
      </c>
      <c r="E282" t="s">
        <v>54</v>
      </c>
      <c r="F282" t="s">
        <v>756</v>
      </c>
      <c r="G282">
        <v>42</v>
      </c>
      <c r="H282" t="s">
        <v>757</v>
      </c>
      <c r="I282">
        <v>138</v>
      </c>
      <c r="J282">
        <v>1901549</v>
      </c>
    </row>
    <row r="283" spans="4:10" x14ac:dyDescent="0.25">
      <c r="D283">
        <v>2</v>
      </c>
      <c r="E283" t="s">
        <v>107</v>
      </c>
      <c r="F283" t="s">
        <v>758</v>
      </c>
      <c r="G283">
        <v>108</v>
      </c>
      <c r="H283" t="s">
        <v>759</v>
      </c>
      <c r="I283">
        <v>230</v>
      </c>
      <c r="J283">
        <v>1902069</v>
      </c>
    </row>
    <row r="284" spans="4:10" x14ac:dyDescent="0.25">
      <c r="D284">
        <v>2</v>
      </c>
      <c r="E284" t="s">
        <v>64</v>
      </c>
      <c r="F284" t="s">
        <v>760</v>
      </c>
      <c r="G284">
        <v>108</v>
      </c>
      <c r="H284" t="s">
        <v>761</v>
      </c>
      <c r="I284">
        <v>232</v>
      </c>
      <c r="J284">
        <v>1902075</v>
      </c>
    </row>
    <row r="285" spans="4:10" x14ac:dyDescent="0.25">
      <c r="D285">
        <v>2</v>
      </c>
      <c r="E285" t="s">
        <v>20</v>
      </c>
      <c r="F285" t="s">
        <v>762</v>
      </c>
      <c r="G285">
        <v>113</v>
      </c>
      <c r="H285" t="s">
        <v>763</v>
      </c>
      <c r="I285">
        <v>2</v>
      </c>
      <c r="J285">
        <v>1902148</v>
      </c>
    </row>
    <row r="286" spans="4:10" x14ac:dyDescent="0.25">
      <c r="D286">
        <v>2</v>
      </c>
      <c r="E286" t="s">
        <v>20</v>
      </c>
      <c r="F286" t="s">
        <v>764</v>
      </c>
      <c r="G286">
        <v>42</v>
      </c>
      <c r="H286" t="s">
        <v>765</v>
      </c>
      <c r="I286">
        <v>276</v>
      </c>
      <c r="J286">
        <v>1902313</v>
      </c>
    </row>
    <row r="287" spans="4:10" x14ac:dyDescent="0.25">
      <c r="D287">
        <v>2</v>
      </c>
      <c r="E287" t="s">
        <v>155</v>
      </c>
      <c r="F287" t="s">
        <v>766</v>
      </c>
      <c r="G287">
        <v>77</v>
      </c>
      <c r="H287" t="s">
        <v>767</v>
      </c>
      <c r="I287">
        <v>257</v>
      </c>
      <c r="J287">
        <v>1903616</v>
      </c>
    </row>
    <row r="288" spans="4:10" x14ac:dyDescent="0.25">
      <c r="D288">
        <v>2</v>
      </c>
      <c r="E288" t="s">
        <v>12</v>
      </c>
      <c r="F288" t="s">
        <v>769</v>
      </c>
      <c r="G288">
        <v>77</v>
      </c>
      <c r="H288" t="s">
        <v>770</v>
      </c>
      <c r="I288">
        <v>259</v>
      </c>
      <c r="J288">
        <v>1903617</v>
      </c>
    </row>
    <row r="289" spans="4:10" x14ac:dyDescent="0.25">
      <c r="D289">
        <v>2</v>
      </c>
      <c r="E289" t="s">
        <v>155</v>
      </c>
      <c r="F289" t="s">
        <v>772</v>
      </c>
      <c r="G289">
        <v>77</v>
      </c>
      <c r="H289" t="s">
        <v>773</v>
      </c>
      <c r="I289">
        <v>269</v>
      </c>
      <c r="J289">
        <v>1903621</v>
      </c>
    </row>
    <row r="290" spans="4:10" x14ac:dyDescent="0.25">
      <c r="D290">
        <v>2</v>
      </c>
      <c r="E290" t="s">
        <v>50</v>
      </c>
      <c r="F290" t="s">
        <v>775</v>
      </c>
      <c r="G290">
        <v>55</v>
      </c>
      <c r="H290" t="s">
        <v>776</v>
      </c>
      <c r="I290">
        <v>207</v>
      </c>
      <c r="J290">
        <v>1905347</v>
      </c>
    </row>
    <row r="291" spans="4:10" x14ac:dyDescent="0.25">
      <c r="D291">
        <v>2</v>
      </c>
      <c r="E291" t="s">
        <v>255</v>
      </c>
      <c r="F291" t="s">
        <v>778</v>
      </c>
      <c r="G291">
        <v>66</v>
      </c>
      <c r="H291" t="s">
        <v>779</v>
      </c>
      <c r="I291">
        <v>65</v>
      </c>
      <c r="J291">
        <v>1905369</v>
      </c>
    </row>
    <row r="292" spans="4:10" x14ac:dyDescent="0.25">
      <c r="D292">
        <v>2</v>
      </c>
      <c r="E292" t="s">
        <v>24</v>
      </c>
      <c r="F292" t="s">
        <v>259</v>
      </c>
      <c r="G292">
        <v>93</v>
      </c>
      <c r="H292" t="s">
        <v>260</v>
      </c>
      <c r="I292">
        <v>268</v>
      </c>
      <c r="J292">
        <v>1905860</v>
      </c>
    </row>
    <row r="293" spans="4:10" x14ac:dyDescent="0.25">
      <c r="D293">
        <v>2</v>
      </c>
      <c r="E293" t="s">
        <v>35</v>
      </c>
      <c r="F293" t="s">
        <v>781</v>
      </c>
      <c r="G293">
        <v>82</v>
      </c>
      <c r="H293" t="s">
        <v>782</v>
      </c>
      <c r="I293">
        <v>184</v>
      </c>
      <c r="J293">
        <v>1907234</v>
      </c>
    </row>
    <row r="294" spans="4:10" x14ac:dyDescent="0.25">
      <c r="D294">
        <v>2</v>
      </c>
      <c r="E294" t="s">
        <v>20</v>
      </c>
      <c r="F294" t="s">
        <v>784</v>
      </c>
      <c r="G294">
        <v>102</v>
      </c>
      <c r="H294" t="s">
        <v>785</v>
      </c>
      <c r="I294">
        <v>8</v>
      </c>
      <c r="J294">
        <v>1908195</v>
      </c>
    </row>
    <row r="295" spans="4:10" x14ac:dyDescent="0.25">
      <c r="D295">
        <v>2</v>
      </c>
      <c r="E295" t="s">
        <v>24</v>
      </c>
      <c r="F295" t="s">
        <v>787</v>
      </c>
      <c r="G295">
        <v>72</v>
      </c>
      <c r="H295" t="s">
        <v>788</v>
      </c>
      <c r="I295">
        <v>245</v>
      </c>
      <c r="J295">
        <v>1909209</v>
      </c>
    </row>
    <row r="296" spans="4:10" x14ac:dyDescent="0.25">
      <c r="D296">
        <v>2</v>
      </c>
      <c r="E296" t="s">
        <v>50</v>
      </c>
      <c r="F296" t="s">
        <v>790</v>
      </c>
      <c r="G296">
        <v>42</v>
      </c>
      <c r="H296" t="s">
        <v>791</v>
      </c>
      <c r="I296">
        <v>284</v>
      </c>
      <c r="J296">
        <v>1910372</v>
      </c>
    </row>
    <row r="297" spans="4:10" x14ac:dyDescent="0.25">
      <c r="D297">
        <v>2</v>
      </c>
      <c r="E297" t="s">
        <v>43</v>
      </c>
      <c r="F297" t="s">
        <v>280</v>
      </c>
      <c r="G297">
        <v>110</v>
      </c>
      <c r="H297" t="s">
        <v>281</v>
      </c>
      <c r="I297">
        <v>50</v>
      </c>
      <c r="J297">
        <v>1910451</v>
      </c>
    </row>
    <row r="298" spans="4:10" x14ac:dyDescent="0.25">
      <c r="D298">
        <v>2</v>
      </c>
      <c r="E298" t="s">
        <v>16</v>
      </c>
      <c r="F298" t="s">
        <v>792</v>
      </c>
      <c r="G298">
        <v>72</v>
      </c>
      <c r="H298" t="s">
        <v>793</v>
      </c>
      <c r="I298">
        <v>54</v>
      </c>
      <c r="J298">
        <v>1911932</v>
      </c>
    </row>
    <row r="299" spans="4:10" x14ac:dyDescent="0.25">
      <c r="D299">
        <v>2</v>
      </c>
      <c r="E299" t="s">
        <v>183</v>
      </c>
      <c r="F299" t="s">
        <v>795</v>
      </c>
      <c r="G299">
        <v>77</v>
      </c>
      <c r="H299" t="s">
        <v>796</v>
      </c>
      <c r="I299">
        <v>121</v>
      </c>
      <c r="J299">
        <v>1912525</v>
      </c>
    </row>
    <row r="300" spans="4:10" x14ac:dyDescent="0.25">
      <c r="D300">
        <v>2</v>
      </c>
      <c r="E300" t="s">
        <v>24</v>
      </c>
      <c r="F300" t="s">
        <v>798</v>
      </c>
      <c r="G300">
        <v>77</v>
      </c>
      <c r="H300" t="s">
        <v>799</v>
      </c>
      <c r="I300">
        <v>113</v>
      </c>
      <c r="J300">
        <v>1912548</v>
      </c>
    </row>
    <row r="302" spans="4:10" x14ac:dyDescent="0.25">
      <c r="D302">
        <v>2</v>
      </c>
      <c r="E302" t="s">
        <v>43</v>
      </c>
      <c r="F302" t="s">
        <v>801</v>
      </c>
      <c r="G302">
        <v>42</v>
      </c>
      <c r="H302" t="s">
        <v>802</v>
      </c>
      <c r="I302">
        <v>71</v>
      </c>
      <c r="J302">
        <v>1913436</v>
      </c>
    </row>
    <row r="303" spans="4:10" x14ac:dyDescent="0.25">
      <c r="D303">
        <v>2</v>
      </c>
      <c r="E303" t="s">
        <v>54</v>
      </c>
      <c r="F303" t="s">
        <v>803</v>
      </c>
      <c r="G303">
        <v>42</v>
      </c>
      <c r="H303" t="s">
        <v>804</v>
      </c>
      <c r="I303">
        <v>237</v>
      </c>
      <c r="J303">
        <v>1913699</v>
      </c>
    </row>
    <row r="304" spans="4:10" x14ac:dyDescent="0.25">
      <c r="D304">
        <v>2</v>
      </c>
      <c r="E304" t="s">
        <v>50</v>
      </c>
      <c r="F304" t="s">
        <v>805</v>
      </c>
      <c r="G304">
        <v>42</v>
      </c>
      <c r="H304" t="s">
        <v>806</v>
      </c>
      <c r="I304">
        <v>235</v>
      </c>
      <c r="J304">
        <v>1913702</v>
      </c>
    </row>
    <row r="305" spans="4:10" x14ac:dyDescent="0.25">
      <c r="D305">
        <v>2</v>
      </c>
      <c r="E305" t="s">
        <v>24</v>
      </c>
      <c r="F305" t="s">
        <v>807</v>
      </c>
      <c r="G305">
        <v>82</v>
      </c>
      <c r="H305" t="s">
        <v>808</v>
      </c>
      <c r="I305">
        <v>99</v>
      </c>
      <c r="J305">
        <v>1913770</v>
      </c>
    </row>
    <row r="306" spans="4:10" x14ac:dyDescent="0.25">
      <c r="D306">
        <v>2</v>
      </c>
      <c r="E306" t="s">
        <v>8</v>
      </c>
      <c r="F306" t="s">
        <v>810</v>
      </c>
      <c r="G306">
        <v>42</v>
      </c>
      <c r="H306" t="s">
        <v>811</v>
      </c>
      <c r="I306">
        <v>219</v>
      </c>
      <c r="J306">
        <v>1913928</v>
      </c>
    </row>
    <row r="307" spans="4:10" x14ac:dyDescent="0.25">
      <c r="D307">
        <v>2</v>
      </c>
      <c r="E307" t="s">
        <v>12</v>
      </c>
      <c r="F307" t="s">
        <v>812</v>
      </c>
      <c r="G307">
        <v>42</v>
      </c>
      <c r="H307" t="s">
        <v>813</v>
      </c>
      <c r="I307">
        <v>221</v>
      </c>
      <c r="J307">
        <v>1913945</v>
      </c>
    </row>
    <row r="308" spans="4:10" x14ac:dyDescent="0.25">
      <c r="D308">
        <v>2</v>
      </c>
      <c r="E308" t="s">
        <v>183</v>
      </c>
      <c r="F308" t="s">
        <v>814</v>
      </c>
      <c r="G308">
        <v>134</v>
      </c>
      <c r="H308" t="s">
        <v>815</v>
      </c>
      <c r="I308">
        <v>168</v>
      </c>
      <c r="J308">
        <v>1914467</v>
      </c>
    </row>
    <row r="309" spans="4:10" x14ac:dyDescent="0.25">
      <c r="D309">
        <v>2</v>
      </c>
      <c r="E309" t="s">
        <v>39</v>
      </c>
      <c r="F309" t="s">
        <v>817</v>
      </c>
      <c r="G309">
        <v>82</v>
      </c>
      <c r="H309" t="s">
        <v>818</v>
      </c>
      <c r="I309">
        <v>145</v>
      </c>
      <c r="J309">
        <v>1914909</v>
      </c>
    </row>
    <row r="310" spans="4:10" x14ac:dyDescent="0.25">
      <c r="D310">
        <v>2</v>
      </c>
      <c r="E310" t="s">
        <v>24</v>
      </c>
      <c r="F310" t="s">
        <v>820</v>
      </c>
      <c r="G310">
        <v>104</v>
      </c>
      <c r="H310" t="s">
        <v>821</v>
      </c>
      <c r="I310">
        <v>225</v>
      </c>
      <c r="J310">
        <v>1915317</v>
      </c>
    </row>
    <row r="311" spans="4:10" x14ac:dyDescent="0.25">
      <c r="D311">
        <v>2</v>
      </c>
      <c r="E311" t="s">
        <v>35</v>
      </c>
      <c r="F311" t="s">
        <v>823</v>
      </c>
      <c r="G311">
        <v>31</v>
      </c>
      <c r="H311" t="s">
        <v>824</v>
      </c>
      <c r="I311">
        <v>47</v>
      </c>
      <c r="J311">
        <v>1915338</v>
      </c>
    </row>
    <row r="312" spans="4:10" x14ac:dyDescent="0.25">
      <c r="D312">
        <v>2</v>
      </c>
      <c r="E312" t="s">
        <v>39</v>
      </c>
      <c r="F312" t="s">
        <v>826</v>
      </c>
      <c r="G312">
        <v>10</v>
      </c>
      <c r="H312" t="s">
        <v>827</v>
      </c>
      <c r="I312">
        <v>11</v>
      </c>
      <c r="J312">
        <v>1915828</v>
      </c>
    </row>
    <row r="313" spans="4:10" x14ac:dyDescent="0.25">
      <c r="D313">
        <v>2</v>
      </c>
      <c r="E313" t="s">
        <v>183</v>
      </c>
      <c r="F313" t="s">
        <v>829</v>
      </c>
      <c r="G313">
        <v>72</v>
      </c>
      <c r="H313" t="s">
        <v>830</v>
      </c>
      <c r="I313">
        <v>148</v>
      </c>
      <c r="J313">
        <v>1916183</v>
      </c>
    </row>
    <row r="314" spans="4:10" x14ac:dyDescent="0.25">
      <c r="D314">
        <v>2</v>
      </c>
      <c r="E314" t="s">
        <v>107</v>
      </c>
      <c r="F314" t="s">
        <v>832</v>
      </c>
      <c r="G314">
        <v>72</v>
      </c>
      <c r="H314" t="s">
        <v>833</v>
      </c>
      <c r="I314">
        <v>151</v>
      </c>
      <c r="J314">
        <v>1916194</v>
      </c>
    </row>
    <row r="315" spans="4:10" x14ac:dyDescent="0.25">
      <c r="D315">
        <v>2</v>
      </c>
      <c r="E315" t="s">
        <v>12</v>
      </c>
      <c r="F315" t="s">
        <v>835</v>
      </c>
      <c r="G315">
        <v>72</v>
      </c>
      <c r="H315" t="s">
        <v>836</v>
      </c>
      <c r="I315">
        <v>150</v>
      </c>
      <c r="J315">
        <v>1916222</v>
      </c>
    </row>
    <row r="316" spans="4:10" x14ac:dyDescent="0.25">
      <c r="D316">
        <v>2</v>
      </c>
      <c r="E316" t="s">
        <v>39</v>
      </c>
      <c r="F316" t="s">
        <v>838</v>
      </c>
      <c r="G316">
        <v>93</v>
      </c>
      <c r="H316" t="s">
        <v>839</v>
      </c>
      <c r="I316">
        <v>39</v>
      </c>
      <c r="J316">
        <v>1916814</v>
      </c>
    </row>
    <row r="317" spans="4:10" x14ac:dyDescent="0.25">
      <c r="D317">
        <v>2</v>
      </c>
      <c r="E317" t="s">
        <v>155</v>
      </c>
      <c r="F317" t="s">
        <v>841</v>
      </c>
      <c r="G317">
        <v>42</v>
      </c>
      <c r="H317" t="s">
        <v>842</v>
      </c>
      <c r="I317">
        <v>293</v>
      </c>
      <c r="J317">
        <v>1918790</v>
      </c>
    </row>
    <row r="318" spans="4:10" x14ac:dyDescent="0.25">
      <c r="D318">
        <v>2</v>
      </c>
      <c r="E318" t="s">
        <v>24</v>
      </c>
      <c r="F318" t="s">
        <v>843</v>
      </c>
      <c r="G318">
        <v>42</v>
      </c>
      <c r="H318" t="s">
        <v>844</v>
      </c>
      <c r="I318">
        <v>7</v>
      </c>
      <c r="J318">
        <v>1918864</v>
      </c>
    </row>
    <row r="319" spans="4:10" x14ac:dyDescent="0.25">
      <c r="D319">
        <v>2</v>
      </c>
      <c r="E319" t="s">
        <v>39</v>
      </c>
      <c r="F319" t="s">
        <v>324</v>
      </c>
      <c r="G319">
        <v>42</v>
      </c>
      <c r="H319" t="s">
        <v>325</v>
      </c>
      <c r="I319">
        <v>10</v>
      </c>
      <c r="J319">
        <v>1918865</v>
      </c>
    </row>
    <row r="320" spans="4:10" x14ac:dyDescent="0.25">
      <c r="D320">
        <v>2</v>
      </c>
      <c r="E320" t="s">
        <v>39</v>
      </c>
      <c r="F320" t="s">
        <v>845</v>
      </c>
      <c r="G320">
        <v>42</v>
      </c>
      <c r="H320" t="s">
        <v>846</v>
      </c>
      <c r="I320">
        <v>17</v>
      </c>
      <c r="J320">
        <v>1918872</v>
      </c>
    </row>
    <row r="321" spans="4:10" x14ac:dyDescent="0.25">
      <c r="D321">
        <v>2</v>
      </c>
      <c r="E321" t="s">
        <v>43</v>
      </c>
      <c r="F321" t="s">
        <v>847</v>
      </c>
      <c r="G321">
        <v>42</v>
      </c>
      <c r="H321" t="s">
        <v>848</v>
      </c>
      <c r="I321">
        <v>18</v>
      </c>
      <c r="J321">
        <v>1918881</v>
      </c>
    </row>
    <row r="322" spans="4:10" x14ac:dyDescent="0.25">
      <c r="D322">
        <v>2</v>
      </c>
      <c r="E322" t="s">
        <v>43</v>
      </c>
      <c r="F322" t="s">
        <v>849</v>
      </c>
      <c r="G322">
        <v>42</v>
      </c>
      <c r="H322" t="s">
        <v>850</v>
      </c>
      <c r="I322">
        <v>61</v>
      </c>
      <c r="J322">
        <v>1919067</v>
      </c>
    </row>
    <row r="323" spans="4:10" x14ac:dyDescent="0.25">
      <c r="D323">
        <v>2</v>
      </c>
      <c r="E323" t="s">
        <v>64</v>
      </c>
      <c r="F323" t="s">
        <v>851</v>
      </c>
      <c r="G323">
        <v>42</v>
      </c>
      <c r="H323" t="s">
        <v>852</v>
      </c>
      <c r="I323">
        <v>312</v>
      </c>
      <c r="J323">
        <v>1919973</v>
      </c>
    </row>
    <row r="324" spans="4:10" x14ac:dyDescent="0.25">
      <c r="D324">
        <v>2</v>
      </c>
      <c r="E324" t="s">
        <v>54</v>
      </c>
      <c r="F324" t="s">
        <v>853</v>
      </c>
      <c r="G324">
        <v>82</v>
      </c>
      <c r="H324" t="s">
        <v>854</v>
      </c>
      <c r="I324">
        <v>58</v>
      </c>
      <c r="J324">
        <v>1920175</v>
      </c>
    </row>
    <row r="325" spans="4:10" x14ac:dyDescent="0.25">
      <c r="D325">
        <v>2</v>
      </c>
      <c r="E325" t="s">
        <v>20</v>
      </c>
      <c r="F325" t="s">
        <v>856</v>
      </c>
      <c r="G325">
        <v>82</v>
      </c>
      <c r="H325" t="s">
        <v>857</v>
      </c>
      <c r="I325">
        <v>41</v>
      </c>
      <c r="J325">
        <v>1920180</v>
      </c>
    </row>
    <row r="326" spans="4:10" x14ac:dyDescent="0.25">
      <c r="D326">
        <v>2</v>
      </c>
      <c r="E326" t="s">
        <v>50</v>
      </c>
      <c r="F326" t="s">
        <v>859</v>
      </c>
      <c r="G326">
        <v>125</v>
      </c>
      <c r="H326" t="s">
        <v>860</v>
      </c>
      <c r="I326">
        <v>38</v>
      </c>
      <c r="J326">
        <v>1922593</v>
      </c>
    </row>
    <row r="327" spans="4:10" x14ac:dyDescent="0.25">
      <c r="D327">
        <v>2</v>
      </c>
      <c r="E327" t="s">
        <v>183</v>
      </c>
      <c r="F327" t="s">
        <v>862</v>
      </c>
      <c r="G327">
        <v>104</v>
      </c>
      <c r="H327" t="s">
        <v>863</v>
      </c>
      <c r="I327">
        <v>120</v>
      </c>
      <c r="J327">
        <v>1923520</v>
      </c>
    </row>
    <row r="328" spans="4:10" x14ac:dyDescent="0.25">
      <c r="D328">
        <v>2</v>
      </c>
      <c r="E328" t="s">
        <v>39</v>
      </c>
      <c r="F328" t="s">
        <v>865</v>
      </c>
      <c r="G328">
        <v>77</v>
      </c>
      <c r="H328" t="s">
        <v>866</v>
      </c>
      <c r="I328">
        <v>162</v>
      </c>
      <c r="J328">
        <v>1923629</v>
      </c>
    </row>
    <row r="329" spans="4:10" x14ac:dyDescent="0.25">
      <c r="D329">
        <v>2</v>
      </c>
      <c r="E329" t="s">
        <v>12</v>
      </c>
      <c r="F329" t="s">
        <v>868</v>
      </c>
      <c r="G329">
        <v>104</v>
      </c>
      <c r="H329" t="s">
        <v>869</v>
      </c>
      <c r="I329">
        <v>152</v>
      </c>
      <c r="J329">
        <v>1924289</v>
      </c>
    </row>
    <row r="330" spans="4:10" x14ac:dyDescent="0.25">
      <c r="D330">
        <v>2</v>
      </c>
      <c r="E330" t="s">
        <v>50</v>
      </c>
      <c r="F330" t="s">
        <v>871</v>
      </c>
      <c r="G330">
        <v>77</v>
      </c>
      <c r="H330" t="s">
        <v>872</v>
      </c>
      <c r="I330">
        <v>24</v>
      </c>
      <c r="J330">
        <v>1924430</v>
      </c>
    </row>
    <row r="331" spans="4:10" x14ac:dyDescent="0.25">
      <c r="D331">
        <v>2</v>
      </c>
      <c r="E331" t="s">
        <v>64</v>
      </c>
      <c r="F331" t="s">
        <v>874</v>
      </c>
      <c r="G331">
        <v>77</v>
      </c>
      <c r="H331" t="s">
        <v>875</v>
      </c>
      <c r="I331">
        <v>26</v>
      </c>
      <c r="J331">
        <v>1924440</v>
      </c>
    </row>
    <row r="332" spans="4:10" x14ac:dyDescent="0.25">
      <c r="D332">
        <v>2</v>
      </c>
      <c r="E332" t="s">
        <v>39</v>
      </c>
      <c r="F332" t="s">
        <v>877</v>
      </c>
      <c r="G332">
        <v>104</v>
      </c>
      <c r="H332" t="s">
        <v>878</v>
      </c>
      <c r="I332">
        <v>262</v>
      </c>
      <c r="J332">
        <v>1925630</v>
      </c>
    </row>
    <row r="333" spans="4:10" x14ac:dyDescent="0.25">
      <c r="D333">
        <v>2</v>
      </c>
      <c r="E333" t="s">
        <v>43</v>
      </c>
      <c r="F333" t="s">
        <v>880</v>
      </c>
      <c r="G333">
        <v>200</v>
      </c>
      <c r="H333" t="s">
        <v>881</v>
      </c>
      <c r="I333">
        <v>70</v>
      </c>
      <c r="J333">
        <v>1926294</v>
      </c>
    </row>
    <row r="334" spans="4:10" x14ac:dyDescent="0.25">
      <c r="D334">
        <v>2</v>
      </c>
      <c r="E334" t="s">
        <v>24</v>
      </c>
      <c r="F334" t="s">
        <v>883</v>
      </c>
      <c r="G334">
        <v>153</v>
      </c>
      <c r="H334" t="s">
        <v>884</v>
      </c>
      <c r="I334">
        <v>296</v>
      </c>
      <c r="J334">
        <v>1926549</v>
      </c>
    </row>
    <row r="335" spans="4:10" x14ac:dyDescent="0.25">
      <c r="D335">
        <v>2</v>
      </c>
      <c r="E335" t="s">
        <v>35</v>
      </c>
      <c r="F335" t="s">
        <v>886</v>
      </c>
      <c r="G335">
        <v>153</v>
      </c>
      <c r="H335" t="s">
        <v>887</v>
      </c>
      <c r="I335">
        <v>60</v>
      </c>
      <c r="J335">
        <v>1926695</v>
      </c>
    </row>
    <row r="336" spans="4:10" x14ac:dyDescent="0.25">
      <c r="D336">
        <v>2</v>
      </c>
      <c r="E336" t="s">
        <v>35</v>
      </c>
      <c r="F336" t="s">
        <v>889</v>
      </c>
      <c r="G336">
        <v>42</v>
      </c>
      <c r="H336" t="s">
        <v>890</v>
      </c>
      <c r="I336">
        <v>92</v>
      </c>
      <c r="J336">
        <v>1926827</v>
      </c>
    </row>
    <row r="337" spans="4:10" x14ac:dyDescent="0.25">
      <c r="D337">
        <v>2</v>
      </c>
      <c r="E337" t="s">
        <v>64</v>
      </c>
      <c r="F337" t="s">
        <v>891</v>
      </c>
      <c r="G337">
        <v>42</v>
      </c>
      <c r="H337" t="s">
        <v>892</v>
      </c>
      <c r="I337">
        <v>91</v>
      </c>
      <c r="J337">
        <v>1926828</v>
      </c>
    </row>
    <row r="338" spans="4:10" x14ac:dyDescent="0.25">
      <c r="D338">
        <v>2</v>
      </c>
      <c r="E338" t="s">
        <v>20</v>
      </c>
      <c r="F338" t="s">
        <v>893</v>
      </c>
      <c r="G338">
        <v>153</v>
      </c>
      <c r="H338" t="s">
        <v>894</v>
      </c>
      <c r="I338">
        <v>195</v>
      </c>
      <c r="J338">
        <v>1927027</v>
      </c>
    </row>
    <row r="339" spans="4:10" x14ac:dyDescent="0.25">
      <c r="D339">
        <v>2</v>
      </c>
      <c r="E339" t="s">
        <v>20</v>
      </c>
      <c r="F339" t="s">
        <v>896</v>
      </c>
      <c r="G339">
        <v>102</v>
      </c>
      <c r="H339" t="s">
        <v>897</v>
      </c>
      <c r="I339">
        <v>209</v>
      </c>
      <c r="J339">
        <v>1927733</v>
      </c>
    </row>
    <row r="340" spans="4:10" x14ac:dyDescent="0.25">
      <c r="D340">
        <v>2</v>
      </c>
      <c r="E340" t="s">
        <v>12</v>
      </c>
      <c r="F340" t="s">
        <v>899</v>
      </c>
      <c r="G340">
        <v>113</v>
      </c>
      <c r="H340" t="s">
        <v>900</v>
      </c>
      <c r="I340">
        <v>170</v>
      </c>
      <c r="J340">
        <v>1928067</v>
      </c>
    </row>
    <row r="341" spans="4:10" x14ac:dyDescent="0.25">
      <c r="D341">
        <v>2</v>
      </c>
      <c r="E341" t="s">
        <v>155</v>
      </c>
      <c r="F341" t="s">
        <v>901</v>
      </c>
      <c r="G341">
        <v>113</v>
      </c>
      <c r="H341" t="s">
        <v>902</v>
      </c>
      <c r="I341">
        <v>181</v>
      </c>
      <c r="J341">
        <v>1928072</v>
      </c>
    </row>
    <row r="342" spans="4:10" x14ac:dyDescent="0.25">
      <c r="D342">
        <v>2</v>
      </c>
      <c r="E342" t="s">
        <v>20</v>
      </c>
      <c r="F342" t="s">
        <v>903</v>
      </c>
      <c r="G342">
        <v>109</v>
      </c>
      <c r="H342" t="s">
        <v>904</v>
      </c>
      <c r="I342">
        <v>9</v>
      </c>
      <c r="J342">
        <v>1931577</v>
      </c>
    </row>
    <row r="343" spans="4:10" x14ac:dyDescent="0.25">
      <c r="D343">
        <v>2</v>
      </c>
      <c r="E343" t="s">
        <v>50</v>
      </c>
      <c r="F343" t="s">
        <v>906</v>
      </c>
      <c r="G343">
        <v>109</v>
      </c>
      <c r="H343" t="s">
        <v>907</v>
      </c>
      <c r="I343">
        <v>85</v>
      </c>
      <c r="J343">
        <v>1932824</v>
      </c>
    </row>
    <row r="344" spans="4:10" x14ac:dyDescent="0.25">
      <c r="D344">
        <v>2</v>
      </c>
      <c r="E344" t="s">
        <v>54</v>
      </c>
      <c r="F344" t="s">
        <v>909</v>
      </c>
      <c r="G344">
        <v>165</v>
      </c>
      <c r="H344" t="s">
        <v>910</v>
      </c>
      <c r="I344">
        <v>126</v>
      </c>
      <c r="J344">
        <v>1933816</v>
      </c>
    </row>
    <row r="345" spans="4:10" x14ac:dyDescent="0.25">
      <c r="D345">
        <v>2</v>
      </c>
      <c r="E345" t="s">
        <v>16</v>
      </c>
      <c r="F345" t="s">
        <v>912</v>
      </c>
      <c r="G345">
        <v>66</v>
      </c>
      <c r="H345" t="s">
        <v>913</v>
      </c>
      <c r="I345">
        <v>87</v>
      </c>
      <c r="J345">
        <v>1934775</v>
      </c>
    </row>
    <row r="346" spans="4:10" x14ac:dyDescent="0.25">
      <c r="D346">
        <v>2</v>
      </c>
      <c r="E346" t="s">
        <v>64</v>
      </c>
      <c r="F346" t="s">
        <v>915</v>
      </c>
      <c r="G346">
        <v>41</v>
      </c>
      <c r="H346" t="s">
        <v>916</v>
      </c>
      <c r="I346">
        <v>317</v>
      </c>
      <c r="J346">
        <v>1935199</v>
      </c>
    </row>
    <row r="347" spans="4:10" x14ac:dyDescent="0.25">
      <c r="D347">
        <v>2</v>
      </c>
      <c r="E347" t="s">
        <v>43</v>
      </c>
      <c r="F347" t="s">
        <v>918</v>
      </c>
      <c r="G347">
        <v>48</v>
      </c>
      <c r="H347" t="s">
        <v>919</v>
      </c>
      <c r="I347">
        <v>13</v>
      </c>
      <c r="J347">
        <v>1935685</v>
      </c>
    </row>
    <row r="348" spans="4:10" x14ac:dyDescent="0.25">
      <c r="D348">
        <v>2</v>
      </c>
      <c r="E348" t="s">
        <v>183</v>
      </c>
      <c r="F348" t="s">
        <v>921</v>
      </c>
      <c r="G348">
        <v>207</v>
      </c>
      <c r="H348" t="s">
        <v>922</v>
      </c>
      <c r="I348">
        <v>153</v>
      </c>
      <c r="J348">
        <v>1937783</v>
      </c>
    </row>
    <row r="349" spans="4:10" x14ac:dyDescent="0.25">
      <c r="D349">
        <v>2</v>
      </c>
      <c r="E349" t="s">
        <v>155</v>
      </c>
      <c r="F349" t="s">
        <v>924</v>
      </c>
      <c r="G349">
        <v>3</v>
      </c>
      <c r="H349" t="s">
        <v>925</v>
      </c>
      <c r="I349">
        <v>294</v>
      </c>
      <c r="J349">
        <v>1938437</v>
      </c>
    </row>
    <row r="350" spans="4:10" x14ac:dyDescent="0.25">
      <c r="D350">
        <v>2</v>
      </c>
      <c r="E350" t="s">
        <v>35</v>
      </c>
      <c r="F350" t="s">
        <v>927</v>
      </c>
      <c r="G350">
        <v>165</v>
      </c>
      <c r="H350" t="s">
        <v>928</v>
      </c>
      <c r="I350">
        <v>36</v>
      </c>
      <c r="J350">
        <v>1938792</v>
      </c>
    </row>
    <row r="351" spans="4:10" x14ac:dyDescent="0.25">
      <c r="D351">
        <v>2</v>
      </c>
      <c r="E351" t="s">
        <v>64</v>
      </c>
      <c r="F351" t="s">
        <v>930</v>
      </c>
      <c r="G351">
        <v>106</v>
      </c>
      <c r="H351" t="s">
        <v>931</v>
      </c>
      <c r="I351">
        <v>35</v>
      </c>
      <c r="J351">
        <v>1938899</v>
      </c>
    </row>
    <row r="352" spans="4:10" x14ac:dyDescent="0.25">
      <c r="D352">
        <v>2</v>
      </c>
      <c r="E352" t="s">
        <v>16</v>
      </c>
      <c r="F352" t="s">
        <v>933</v>
      </c>
      <c r="G352">
        <v>108</v>
      </c>
      <c r="H352" t="s">
        <v>934</v>
      </c>
      <c r="I352">
        <v>326</v>
      </c>
      <c r="J352">
        <v>1939708</v>
      </c>
    </row>
    <row r="353" spans="4:10" x14ac:dyDescent="0.25">
      <c r="D353">
        <v>2</v>
      </c>
      <c r="E353" t="s">
        <v>16</v>
      </c>
      <c r="F353" t="s">
        <v>935</v>
      </c>
      <c r="G353">
        <v>13</v>
      </c>
      <c r="H353" t="s">
        <v>936</v>
      </c>
      <c r="I353">
        <v>49</v>
      </c>
      <c r="J353">
        <v>1939795</v>
      </c>
    </row>
    <row r="354" spans="4:10" x14ac:dyDescent="0.25">
      <c r="D354">
        <v>2</v>
      </c>
      <c r="E354" t="s">
        <v>39</v>
      </c>
      <c r="F354" t="s">
        <v>938</v>
      </c>
      <c r="G354">
        <v>13</v>
      </c>
      <c r="H354" t="s">
        <v>939</v>
      </c>
      <c r="I354">
        <v>56</v>
      </c>
      <c r="J354">
        <v>1939838</v>
      </c>
    </row>
    <row r="355" spans="4:10" x14ac:dyDescent="0.25">
      <c r="D355">
        <v>2</v>
      </c>
      <c r="E355" t="s">
        <v>35</v>
      </c>
      <c r="F355" t="s">
        <v>941</v>
      </c>
      <c r="G355">
        <v>13</v>
      </c>
      <c r="H355" t="s">
        <v>942</v>
      </c>
      <c r="I355">
        <v>123</v>
      </c>
      <c r="J355">
        <v>1940263</v>
      </c>
    </row>
    <row r="356" spans="4:10" x14ac:dyDescent="0.25">
      <c r="D356">
        <v>2</v>
      </c>
      <c r="E356" t="s">
        <v>31</v>
      </c>
      <c r="F356" t="s">
        <v>941</v>
      </c>
      <c r="G356">
        <v>13</v>
      </c>
      <c r="H356" t="s">
        <v>942</v>
      </c>
      <c r="I356">
        <v>124</v>
      </c>
      <c r="J356">
        <v>1940263</v>
      </c>
    </row>
    <row r="357" spans="4:10" x14ac:dyDescent="0.25">
      <c r="D357">
        <v>2</v>
      </c>
      <c r="E357" t="s">
        <v>35</v>
      </c>
      <c r="F357" t="s">
        <v>944</v>
      </c>
      <c r="G357">
        <v>13</v>
      </c>
      <c r="H357" t="s">
        <v>945</v>
      </c>
      <c r="I357">
        <v>134</v>
      </c>
      <c r="J357">
        <v>1940414</v>
      </c>
    </row>
    <row r="358" spans="4:10" x14ac:dyDescent="0.25">
      <c r="D358">
        <v>2</v>
      </c>
      <c r="E358" t="s">
        <v>12</v>
      </c>
      <c r="F358" t="s">
        <v>947</v>
      </c>
      <c r="G358">
        <v>13</v>
      </c>
      <c r="H358" t="s">
        <v>948</v>
      </c>
      <c r="I358">
        <v>143</v>
      </c>
      <c r="J358">
        <v>1940438</v>
      </c>
    </row>
    <row r="359" spans="4:10" x14ac:dyDescent="0.25">
      <c r="D359">
        <v>2</v>
      </c>
      <c r="E359" t="s">
        <v>107</v>
      </c>
      <c r="F359" t="s">
        <v>950</v>
      </c>
      <c r="G359">
        <v>164</v>
      </c>
      <c r="H359" t="s">
        <v>951</v>
      </c>
      <c r="I359">
        <v>97</v>
      </c>
      <c r="J359">
        <v>1942126</v>
      </c>
    </row>
    <row r="360" spans="4:10" x14ac:dyDescent="0.25">
      <c r="D360">
        <v>2</v>
      </c>
      <c r="E360" t="s">
        <v>16</v>
      </c>
      <c r="F360" t="s">
        <v>953</v>
      </c>
      <c r="G360">
        <v>20</v>
      </c>
      <c r="H360" t="s">
        <v>954</v>
      </c>
      <c r="I360">
        <v>29</v>
      </c>
      <c r="J360">
        <v>1942753</v>
      </c>
    </row>
    <row r="361" spans="4:10" x14ac:dyDescent="0.25">
      <c r="D361">
        <v>2</v>
      </c>
      <c r="E361" t="s">
        <v>12</v>
      </c>
      <c r="F361" t="s">
        <v>956</v>
      </c>
      <c r="G361">
        <v>42</v>
      </c>
      <c r="H361" t="s">
        <v>957</v>
      </c>
      <c r="I361">
        <v>263</v>
      </c>
      <c r="J361">
        <v>1945132</v>
      </c>
    </row>
    <row r="362" spans="4:10" x14ac:dyDescent="0.25">
      <c r="D362">
        <v>2</v>
      </c>
      <c r="E362" t="s">
        <v>12</v>
      </c>
      <c r="F362" t="s">
        <v>958</v>
      </c>
      <c r="G362">
        <v>42</v>
      </c>
      <c r="H362" t="s">
        <v>959</v>
      </c>
      <c r="I362">
        <v>248</v>
      </c>
      <c r="J362">
        <v>1945200</v>
      </c>
    </row>
    <row r="363" spans="4:10" x14ac:dyDescent="0.25">
      <c r="D363">
        <v>2</v>
      </c>
      <c r="E363" t="s">
        <v>54</v>
      </c>
      <c r="F363" t="s">
        <v>960</v>
      </c>
      <c r="G363">
        <v>13</v>
      </c>
      <c r="H363" t="s">
        <v>961</v>
      </c>
      <c r="I363">
        <v>183</v>
      </c>
      <c r="J363">
        <v>1945588</v>
      </c>
    </row>
    <row r="364" spans="4:10" x14ac:dyDescent="0.25">
      <c r="D364">
        <v>2</v>
      </c>
      <c r="E364" t="s">
        <v>20</v>
      </c>
      <c r="F364" t="s">
        <v>963</v>
      </c>
      <c r="G364">
        <v>13</v>
      </c>
      <c r="H364" t="s">
        <v>964</v>
      </c>
      <c r="I364">
        <v>205</v>
      </c>
      <c r="J364">
        <v>1945982</v>
      </c>
    </row>
    <row r="365" spans="4:10" x14ac:dyDescent="0.25">
      <c r="D365">
        <v>2</v>
      </c>
      <c r="E365" t="s">
        <v>43</v>
      </c>
      <c r="F365" t="s">
        <v>966</v>
      </c>
      <c r="G365">
        <v>13</v>
      </c>
      <c r="H365" t="s">
        <v>967</v>
      </c>
      <c r="I365">
        <v>238</v>
      </c>
      <c r="J365">
        <v>1946129</v>
      </c>
    </row>
    <row r="366" spans="4:10" x14ac:dyDescent="0.25">
      <c r="D366">
        <v>2</v>
      </c>
      <c r="E366" t="s">
        <v>12</v>
      </c>
      <c r="F366" t="s">
        <v>449</v>
      </c>
      <c r="G366">
        <v>13</v>
      </c>
      <c r="H366" t="s">
        <v>450</v>
      </c>
      <c r="I366">
        <v>242</v>
      </c>
      <c r="J366">
        <v>1946150</v>
      </c>
    </row>
    <row r="367" spans="4:10" x14ac:dyDescent="0.25">
      <c r="D367">
        <v>2</v>
      </c>
      <c r="E367" t="s">
        <v>20</v>
      </c>
      <c r="F367" t="s">
        <v>449</v>
      </c>
      <c r="G367">
        <v>13</v>
      </c>
      <c r="H367" t="s">
        <v>450</v>
      </c>
      <c r="I367">
        <v>244</v>
      </c>
      <c r="J367">
        <v>1946150</v>
      </c>
    </row>
    <row r="368" spans="4:10" x14ac:dyDescent="0.25">
      <c r="D368">
        <v>2</v>
      </c>
      <c r="E368" t="s">
        <v>183</v>
      </c>
      <c r="F368" t="s">
        <v>969</v>
      </c>
      <c r="G368">
        <v>13</v>
      </c>
      <c r="H368" t="s">
        <v>970</v>
      </c>
      <c r="I368">
        <v>260</v>
      </c>
      <c r="J368">
        <v>1946172</v>
      </c>
    </row>
    <row r="369" spans="4:10" x14ac:dyDescent="0.25">
      <c r="D369">
        <v>2</v>
      </c>
      <c r="E369" t="s">
        <v>24</v>
      </c>
      <c r="F369" t="s">
        <v>972</v>
      </c>
      <c r="G369">
        <v>13</v>
      </c>
      <c r="H369" t="s">
        <v>973</v>
      </c>
      <c r="I369">
        <v>266</v>
      </c>
      <c r="J369">
        <v>1946185</v>
      </c>
    </row>
    <row r="370" spans="4:10" x14ac:dyDescent="0.25">
      <c r="D370">
        <v>2</v>
      </c>
      <c r="E370" t="s">
        <v>24</v>
      </c>
      <c r="F370" t="s">
        <v>975</v>
      </c>
      <c r="G370">
        <v>13</v>
      </c>
      <c r="H370" t="s">
        <v>976</v>
      </c>
      <c r="I370">
        <v>258</v>
      </c>
      <c r="J370">
        <v>1946200</v>
      </c>
    </row>
    <row r="371" spans="4:10" x14ac:dyDescent="0.25">
      <c r="D371">
        <v>2</v>
      </c>
      <c r="E371" t="s">
        <v>39</v>
      </c>
      <c r="F371" t="s">
        <v>978</v>
      </c>
      <c r="G371">
        <v>13</v>
      </c>
      <c r="H371" t="s">
        <v>979</v>
      </c>
      <c r="I371">
        <v>240</v>
      </c>
      <c r="J371">
        <v>1946212</v>
      </c>
    </row>
    <row r="372" spans="4:10" x14ac:dyDescent="0.25">
      <c r="D372">
        <v>2</v>
      </c>
      <c r="E372" t="s">
        <v>50</v>
      </c>
      <c r="F372" t="s">
        <v>981</v>
      </c>
      <c r="G372">
        <v>15</v>
      </c>
      <c r="H372" t="s">
        <v>982</v>
      </c>
      <c r="I372">
        <v>280</v>
      </c>
      <c r="J372">
        <v>1946883</v>
      </c>
    </row>
    <row r="373" spans="4:10" x14ac:dyDescent="0.25">
      <c r="D373">
        <v>2</v>
      </c>
      <c r="E373" t="s">
        <v>255</v>
      </c>
      <c r="F373" t="s">
        <v>984</v>
      </c>
      <c r="G373">
        <v>30</v>
      </c>
      <c r="H373" t="s">
        <v>985</v>
      </c>
      <c r="I373">
        <v>42</v>
      </c>
      <c r="J373">
        <v>1951928</v>
      </c>
    </row>
    <row r="374" spans="4:10" x14ac:dyDescent="0.25">
      <c r="D374">
        <v>2</v>
      </c>
      <c r="E374" t="s">
        <v>35</v>
      </c>
      <c r="F374" t="s">
        <v>987</v>
      </c>
      <c r="G374">
        <v>30</v>
      </c>
      <c r="H374" t="s">
        <v>988</v>
      </c>
      <c r="I374">
        <v>105</v>
      </c>
      <c r="J374">
        <v>1952595</v>
      </c>
    </row>
    <row r="375" spans="4:10" x14ac:dyDescent="0.25">
      <c r="D375">
        <v>2</v>
      </c>
      <c r="E375" t="s">
        <v>255</v>
      </c>
      <c r="F375" t="s">
        <v>458</v>
      </c>
      <c r="G375">
        <v>30</v>
      </c>
      <c r="H375" t="s">
        <v>459</v>
      </c>
      <c r="I375">
        <v>15</v>
      </c>
      <c r="J375">
        <v>1953634</v>
      </c>
    </row>
    <row r="376" spans="4:10" x14ac:dyDescent="0.25">
      <c r="D376">
        <v>2</v>
      </c>
      <c r="E376" t="s">
        <v>20</v>
      </c>
      <c r="F376" t="s">
        <v>458</v>
      </c>
      <c r="G376">
        <v>30</v>
      </c>
      <c r="H376" t="s">
        <v>459</v>
      </c>
      <c r="I376">
        <v>16</v>
      </c>
      <c r="J376">
        <v>1953634</v>
      </c>
    </row>
    <row r="377" spans="4:10" x14ac:dyDescent="0.25">
      <c r="D377">
        <v>2</v>
      </c>
      <c r="E377" t="s">
        <v>107</v>
      </c>
      <c r="F377" t="s">
        <v>990</v>
      </c>
      <c r="G377">
        <v>30</v>
      </c>
      <c r="H377" t="s">
        <v>991</v>
      </c>
      <c r="I377">
        <v>176</v>
      </c>
      <c r="J377">
        <v>1953840</v>
      </c>
    </row>
    <row r="378" spans="4:10" x14ac:dyDescent="0.25">
      <c r="D378">
        <v>2</v>
      </c>
      <c r="E378" t="s">
        <v>255</v>
      </c>
      <c r="F378" t="s">
        <v>993</v>
      </c>
      <c r="G378">
        <v>84</v>
      </c>
      <c r="H378" t="s">
        <v>994</v>
      </c>
      <c r="I378">
        <v>264</v>
      </c>
      <c r="J378">
        <v>1954557</v>
      </c>
    </row>
    <row r="379" spans="4:10" x14ac:dyDescent="0.25">
      <c r="D379">
        <v>2</v>
      </c>
      <c r="E379" t="s">
        <v>43</v>
      </c>
      <c r="F379" t="s">
        <v>996</v>
      </c>
      <c r="G379">
        <v>30</v>
      </c>
      <c r="H379" t="s">
        <v>997</v>
      </c>
      <c r="I379">
        <v>239</v>
      </c>
      <c r="J379">
        <v>1955783</v>
      </c>
    </row>
    <row r="380" spans="4:10" x14ac:dyDescent="0.25">
      <c r="D380">
        <v>2</v>
      </c>
      <c r="E380" t="s">
        <v>35</v>
      </c>
      <c r="F380" t="s">
        <v>999</v>
      </c>
      <c r="G380">
        <v>186</v>
      </c>
      <c r="H380" t="s">
        <v>1000</v>
      </c>
      <c r="I380">
        <v>286</v>
      </c>
      <c r="J380">
        <v>1956372</v>
      </c>
    </row>
    <row r="381" spans="4:10" x14ac:dyDescent="0.25">
      <c r="D381">
        <v>2</v>
      </c>
      <c r="E381" t="s">
        <v>107</v>
      </c>
      <c r="F381" t="s">
        <v>1002</v>
      </c>
      <c r="G381">
        <v>77</v>
      </c>
      <c r="H381" t="s">
        <v>1003</v>
      </c>
      <c r="I381">
        <v>265</v>
      </c>
      <c r="J381">
        <v>1956469</v>
      </c>
    </row>
    <row r="382" spans="4:10" x14ac:dyDescent="0.25">
      <c r="D382">
        <v>2</v>
      </c>
      <c r="E382" t="s">
        <v>50</v>
      </c>
      <c r="F382" t="s">
        <v>1005</v>
      </c>
      <c r="G382">
        <v>109</v>
      </c>
      <c r="H382" t="s">
        <v>1006</v>
      </c>
      <c r="I382">
        <v>314</v>
      </c>
      <c r="J382">
        <v>1958652</v>
      </c>
    </row>
    <row r="383" spans="4:10" x14ac:dyDescent="0.25">
      <c r="D383">
        <v>2</v>
      </c>
      <c r="E383" t="s">
        <v>54</v>
      </c>
      <c r="F383" t="s">
        <v>1008</v>
      </c>
      <c r="G383">
        <v>61</v>
      </c>
      <c r="H383" t="s">
        <v>1009</v>
      </c>
      <c r="I383">
        <v>319</v>
      </c>
      <c r="J383">
        <v>1960228</v>
      </c>
    </row>
    <row r="384" spans="4:10" x14ac:dyDescent="0.25">
      <c r="D384">
        <v>2</v>
      </c>
      <c r="E384" t="s">
        <v>255</v>
      </c>
      <c r="F384" t="s">
        <v>476</v>
      </c>
      <c r="G384">
        <v>172</v>
      </c>
      <c r="H384" t="s">
        <v>477</v>
      </c>
      <c r="I384">
        <v>249</v>
      </c>
      <c r="J384">
        <v>1962589</v>
      </c>
    </row>
    <row r="385" spans="4:10" x14ac:dyDescent="0.25">
      <c r="D385">
        <v>2</v>
      </c>
      <c r="E385" t="s">
        <v>16</v>
      </c>
      <c r="F385" t="s">
        <v>1011</v>
      </c>
      <c r="G385">
        <v>110</v>
      </c>
      <c r="H385" t="s">
        <v>1012</v>
      </c>
      <c r="I385">
        <v>27</v>
      </c>
      <c r="J385">
        <v>1963077</v>
      </c>
    </row>
    <row r="386" spans="4:10" x14ac:dyDescent="0.25">
      <c r="D386">
        <v>2</v>
      </c>
      <c r="E386" t="s">
        <v>107</v>
      </c>
      <c r="F386" t="s">
        <v>1014</v>
      </c>
      <c r="G386">
        <v>108</v>
      </c>
      <c r="H386" t="s">
        <v>1015</v>
      </c>
      <c r="I386">
        <v>270</v>
      </c>
      <c r="J386">
        <v>1963635</v>
      </c>
    </row>
    <row r="387" spans="4:10" x14ac:dyDescent="0.25">
      <c r="D387">
        <v>2</v>
      </c>
      <c r="E387" t="s">
        <v>16</v>
      </c>
      <c r="F387" t="s">
        <v>1016</v>
      </c>
      <c r="G387">
        <v>157</v>
      </c>
      <c r="H387" t="s">
        <v>1017</v>
      </c>
      <c r="I387">
        <v>93</v>
      </c>
      <c r="J387">
        <v>1965679</v>
      </c>
    </row>
    <row r="388" spans="4:10" x14ac:dyDescent="0.25">
      <c r="D388">
        <v>2</v>
      </c>
      <c r="E388" t="s">
        <v>54</v>
      </c>
      <c r="F388" t="s">
        <v>1019</v>
      </c>
      <c r="G388">
        <v>37</v>
      </c>
      <c r="H388" t="s">
        <v>1020</v>
      </c>
      <c r="I388">
        <v>303</v>
      </c>
      <c r="J388">
        <v>1965815</v>
      </c>
    </row>
    <row r="389" spans="4:10" x14ac:dyDescent="0.25">
      <c r="D389">
        <v>2</v>
      </c>
      <c r="E389" t="s">
        <v>20</v>
      </c>
      <c r="F389" t="s">
        <v>1022</v>
      </c>
      <c r="G389">
        <v>37</v>
      </c>
      <c r="H389" t="s">
        <v>1023</v>
      </c>
      <c r="I389">
        <v>267</v>
      </c>
      <c r="J389">
        <v>1967069</v>
      </c>
    </row>
    <row r="390" spans="4:10" x14ac:dyDescent="0.25">
      <c r="D390">
        <v>2</v>
      </c>
      <c r="E390" t="s">
        <v>39</v>
      </c>
      <c r="F390" t="s">
        <v>1025</v>
      </c>
      <c r="G390">
        <v>147</v>
      </c>
      <c r="H390" t="s">
        <v>1026</v>
      </c>
      <c r="I390">
        <v>119</v>
      </c>
      <c r="J390">
        <v>1969165</v>
      </c>
    </row>
    <row r="391" spans="4:10" x14ac:dyDescent="0.25">
      <c r="D391">
        <v>2</v>
      </c>
      <c r="E391" t="s">
        <v>155</v>
      </c>
      <c r="F391" t="s">
        <v>1028</v>
      </c>
      <c r="G391">
        <v>147</v>
      </c>
      <c r="H391" t="s">
        <v>1029</v>
      </c>
      <c r="I391">
        <v>114</v>
      </c>
      <c r="J391">
        <v>1969181</v>
      </c>
    </row>
    <row r="392" spans="4:10" x14ac:dyDescent="0.25">
      <c r="D392">
        <v>2</v>
      </c>
      <c r="E392" t="s">
        <v>64</v>
      </c>
      <c r="F392" t="s">
        <v>1031</v>
      </c>
      <c r="G392">
        <v>211</v>
      </c>
      <c r="H392" t="s">
        <v>1032</v>
      </c>
      <c r="I392">
        <v>53</v>
      </c>
      <c r="J392">
        <v>1971686</v>
      </c>
    </row>
    <row r="393" spans="4:10" x14ac:dyDescent="0.25">
      <c r="D393">
        <v>2</v>
      </c>
      <c r="E393" t="s">
        <v>35</v>
      </c>
      <c r="F393" t="s">
        <v>1034</v>
      </c>
      <c r="G393">
        <v>15</v>
      </c>
      <c r="H393" t="s">
        <v>1035</v>
      </c>
      <c r="I393">
        <v>86</v>
      </c>
      <c r="J393">
        <v>1972343</v>
      </c>
    </row>
    <row r="394" spans="4:10" x14ac:dyDescent="0.25">
      <c r="D394">
        <v>2</v>
      </c>
      <c r="E394" t="s">
        <v>16</v>
      </c>
      <c r="F394" t="s">
        <v>1037</v>
      </c>
      <c r="G394">
        <v>37</v>
      </c>
      <c r="H394" t="s">
        <v>1038</v>
      </c>
      <c r="I394">
        <v>25</v>
      </c>
      <c r="J394">
        <v>1974048</v>
      </c>
    </row>
    <row r="395" spans="4:10" x14ac:dyDescent="0.25">
      <c r="D395">
        <v>2</v>
      </c>
      <c r="E395" t="s">
        <v>24</v>
      </c>
      <c r="F395" t="s">
        <v>1040</v>
      </c>
      <c r="G395">
        <v>191</v>
      </c>
      <c r="H395" t="s">
        <v>1041</v>
      </c>
      <c r="I395">
        <v>295</v>
      </c>
      <c r="J395">
        <v>1976489</v>
      </c>
    </row>
    <row r="396" spans="4:10" x14ac:dyDescent="0.25">
      <c r="D396">
        <v>2</v>
      </c>
      <c r="E396" t="s">
        <v>64</v>
      </c>
      <c r="F396" t="s">
        <v>1043</v>
      </c>
      <c r="G396">
        <v>191</v>
      </c>
      <c r="H396" t="s">
        <v>1044</v>
      </c>
      <c r="I396">
        <v>147</v>
      </c>
      <c r="J396">
        <v>1976553</v>
      </c>
    </row>
    <row r="397" spans="4:10" x14ac:dyDescent="0.25">
      <c r="D397">
        <v>2</v>
      </c>
      <c r="E397" t="s">
        <v>39</v>
      </c>
      <c r="F397" t="s">
        <v>1046</v>
      </c>
      <c r="G397">
        <v>77</v>
      </c>
      <c r="H397" t="s">
        <v>1047</v>
      </c>
      <c r="I397">
        <v>226</v>
      </c>
      <c r="J397">
        <v>1977402</v>
      </c>
    </row>
    <row r="398" spans="4:10" x14ac:dyDescent="0.25">
      <c r="D398">
        <v>2</v>
      </c>
      <c r="E398" t="s">
        <v>35</v>
      </c>
      <c r="F398" t="s">
        <v>1049</v>
      </c>
      <c r="G398">
        <v>77</v>
      </c>
      <c r="H398" t="s">
        <v>1050</v>
      </c>
      <c r="I398">
        <v>64</v>
      </c>
      <c r="J398">
        <v>1977926</v>
      </c>
    </row>
    <row r="399" spans="4:10" x14ac:dyDescent="0.25">
      <c r="D399">
        <v>2</v>
      </c>
      <c r="E399" t="s">
        <v>39</v>
      </c>
      <c r="F399" t="s">
        <v>1051</v>
      </c>
      <c r="G399">
        <v>106</v>
      </c>
      <c r="H399" t="s">
        <v>1052</v>
      </c>
      <c r="I399">
        <v>22</v>
      </c>
      <c r="J399">
        <v>1980161</v>
      </c>
    </row>
    <row r="400" spans="4:10" x14ac:dyDescent="0.25">
      <c r="D400">
        <v>2</v>
      </c>
      <c r="E400" t="s">
        <v>35</v>
      </c>
      <c r="F400" t="s">
        <v>1054</v>
      </c>
      <c r="G400">
        <v>182</v>
      </c>
      <c r="H400" t="s">
        <v>1055</v>
      </c>
      <c r="I400">
        <v>206</v>
      </c>
      <c r="J400">
        <v>1981549</v>
      </c>
    </row>
    <row r="401" spans="4:10" x14ac:dyDescent="0.25">
      <c r="D401">
        <v>3</v>
      </c>
      <c r="E401" t="s">
        <v>50</v>
      </c>
      <c r="F401" t="s">
        <v>1057</v>
      </c>
      <c r="G401">
        <v>10</v>
      </c>
      <c r="H401" t="s">
        <v>1058</v>
      </c>
      <c r="I401">
        <v>314</v>
      </c>
      <c r="J401">
        <v>1532873</v>
      </c>
    </row>
    <row r="402" spans="4:10" x14ac:dyDescent="0.25">
      <c r="D402">
        <v>3</v>
      </c>
      <c r="E402" t="s">
        <v>31</v>
      </c>
      <c r="F402" t="s">
        <v>1060</v>
      </c>
      <c r="G402">
        <v>48</v>
      </c>
      <c r="H402" t="s">
        <v>1061</v>
      </c>
      <c r="I402">
        <v>323</v>
      </c>
      <c r="J402">
        <v>1535513</v>
      </c>
    </row>
    <row r="403" spans="4:10" x14ac:dyDescent="0.25">
      <c r="D403">
        <v>3</v>
      </c>
      <c r="E403" t="s">
        <v>107</v>
      </c>
      <c r="F403" t="s">
        <v>1063</v>
      </c>
      <c r="G403">
        <v>104</v>
      </c>
      <c r="H403" t="s">
        <v>1064</v>
      </c>
      <c r="I403">
        <v>217</v>
      </c>
      <c r="J403">
        <v>1551387</v>
      </c>
    </row>
    <row r="404" spans="4:10" x14ac:dyDescent="0.25">
      <c r="D404">
        <v>3</v>
      </c>
      <c r="E404" t="s">
        <v>39</v>
      </c>
      <c r="F404" t="s">
        <v>9</v>
      </c>
      <c r="G404">
        <v>99</v>
      </c>
      <c r="H404" t="s">
        <v>10</v>
      </c>
      <c r="I404">
        <v>262</v>
      </c>
      <c r="J404">
        <v>1539969</v>
      </c>
    </row>
    <row r="405" spans="4:10" x14ac:dyDescent="0.25">
      <c r="D405">
        <v>3</v>
      </c>
      <c r="E405" t="s">
        <v>54</v>
      </c>
      <c r="F405" t="s">
        <v>1066</v>
      </c>
      <c r="G405">
        <v>133</v>
      </c>
      <c r="H405" t="s">
        <v>1067</v>
      </c>
      <c r="I405">
        <v>138</v>
      </c>
      <c r="J405">
        <v>1535349</v>
      </c>
    </row>
    <row r="406" spans="4:10" x14ac:dyDescent="0.25">
      <c r="D406">
        <v>3</v>
      </c>
      <c r="E406" t="s">
        <v>24</v>
      </c>
      <c r="F406" t="s">
        <v>13</v>
      </c>
      <c r="G406">
        <v>171</v>
      </c>
      <c r="H406" t="s">
        <v>14</v>
      </c>
      <c r="I406">
        <v>258</v>
      </c>
      <c r="J406">
        <v>1543549</v>
      </c>
    </row>
    <row r="407" spans="4:10" x14ac:dyDescent="0.25">
      <c r="D407">
        <v>3</v>
      </c>
      <c r="E407" t="s">
        <v>50</v>
      </c>
      <c r="F407" t="s">
        <v>1069</v>
      </c>
      <c r="G407">
        <v>98</v>
      </c>
      <c r="H407" t="s">
        <v>1070</v>
      </c>
      <c r="I407">
        <v>284</v>
      </c>
      <c r="J407">
        <v>1536064</v>
      </c>
    </row>
    <row r="408" spans="4:10" x14ac:dyDescent="0.25">
      <c r="D408">
        <v>3</v>
      </c>
      <c r="E408" t="s">
        <v>107</v>
      </c>
      <c r="F408" t="s">
        <v>1072</v>
      </c>
      <c r="G408">
        <v>95</v>
      </c>
      <c r="H408" t="s">
        <v>1073</v>
      </c>
      <c r="I408">
        <v>223</v>
      </c>
      <c r="J408">
        <v>1538159</v>
      </c>
    </row>
    <row r="409" spans="4:10" x14ac:dyDescent="0.25">
      <c r="D409">
        <v>3</v>
      </c>
      <c r="E409" t="s">
        <v>35</v>
      </c>
      <c r="F409" t="s">
        <v>1075</v>
      </c>
      <c r="G409">
        <v>179</v>
      </c>
      <c r="H409" t="s">
        <v>1076</v>
      </c>
      <c r="I409">
        <v>206</v>
      </c>
      <c r="J409">
        <v>1535852</v>
      </c>
    </row>
    <row r="410" spans="4:10" x14ac:dyDescent="0.25">
      <c r="D410">
        <v>3</v>
      </c>
      <c r="E410" t="s">
        <v>16</v>
      </c>
      <c r="F410" t="s">
        <v>1078</v>
      </c>
      <c r="G410">
        <v>167</v>
      </c>
      <c r="H410" t="s">
        <v>1079</v>
      </c>
      <c r="I410">
        <v>54</v>
      </c>
      <c r="J410">
        <v>1537183</v>
      </c>
    </row>
    <row r="411" spans="4:10" x14ac:dyDescent="0.25">
      <c r="D411">
        <v>3</v>
      </c>
      <c r="E411" t="s">
        <v>8</v>
      </c>
      <c r="F411" t="s">
        <v>1081</v>
      </c>
      <c r="G411">
        <v>114</v>
      </c>
      <c r="H411" t="s">
        <v>1082</v>
      </c>
      <c r="I411">
        <v>171</v>
      </c>
      <c r="J411">
        <v>1550167</v>
      </c>
    </row>
    <row r="412" spans="4:10" x14ac:dyDescent="0.25">
      <c r="D412">
        <v>3</v>
      </c>
      <c r="E412" t="s">
        <v>255</v>
      </c>
      <c r="F412" t="s">
        <v>1084</v>
      </c>
      <c r="G412">
        <v>95</v>
      </c>
      <c r="H412" t="s">
        <v>1085</v>
      </c>
      <c r="I412">
        <v>216</v>
      </c>
      <c r="J412">
        <v>1538084</v>
      </c>
    </row>
    <row r="413" spans="4:10" x14ac:dyDescent="0.25">
      <c r="D413">
        <v>3</v>
      </c>
      <c r="E413" t="s">
        <v>24</v>
      </c>
      <c r="F413" t="s">
        <v>1087</v>
      </c>
      <c r="G413">
        <v>72</v>
      </c>
      <c r="H413" t="s">
        <v>1088</v>
      </c>
      <c r="I413">
        <v>296</v>
      </c>
      <c r="J413">
        <v>1543967</v>
      </c>
    </row>
    <row r="414" spans="4:10" x14ac:dyDescent="0.25">
      <c r="D414">
        <v>3</v>
      </c>
      <c r="E414" t="s">
        <v>20</v>
      </c>
      <c r="F414" t="s">
        <v>1090</v>
      </c>
      <c r="G414">
        <v>72</v>
      </c>
      <c r="H414" t="s">
        <v>1091</v>
      </c>
      <c r="I414">
        <v>2</v>
      </c>
      <c r="J414">
        <v>1541265</v>
      </c>
    </row>
    <row r="415" spans="4:10" x14ac:dyDescent="0.25">
      <c r="D415">
        <v>3</v>
      </c>
      <c r="E415" t="s">
        <v>16</v>
      </c>
      <c r="F415" t="s">
        <v>1093</v>
      </c>
      <c r="G415">
        <v>31</v>
      </c>
      <c r="H415" t="s">
        <v>1094</v>
      </c>
      <c r="I415">
        <v>311</v>
      </c>
      <c r="J415">
        <v>1540334</v>
      </c>
    </row>
    <row r="416" spans="4:10" x14ac:dyDescent="0.25">
      <c r="D416">
        <v>3</v>
      </c>
      <c r="E416" t="s">
        <v>39</v>
      </c>
      <c r="F416" t="s">
        <v>1096</v>
      </c>
      <c r="G416">
        <v>80</v>
      </c>
      <c r="H416" t="s">
        <v>1097</v>
      </c>
      <c r="I416">
        <v>83</v>
      </c>
      <c r="J416">
        <v>1550184</v>
      </c>
    </row>
    <row r="417" spans="4:10" x14ac:dyDescent="0.25">
      <c r="D417">
        <v>3</v>
      </c>
      <c r="E417" t="s">
        <v>43</v>
      </c>
      <c r="F417" t="s">
        <v>1099</v>
      </c>
      <c r="G417">
        <v>171</v>
      </c>
      <c r="H417" t="s">
        <v>1100</v>
      </c>
      <c r="I417">
        <v>19</v>
      </c>
      <c r="J417">
        <v>1550170</v>
      </c>
    </row>
    <row r="418" spans="4:10" x14ac:dyDescent="0.25">
      <c r="D418">
        <v>3</v>
      </c>
      <c r="E418" t="s">
        <v>31</v>
      </c>
      <c r="F418" t="s">
        <v>1102</v>
      </c>
      <c r="G418">
        <v>98</v>
      </c>
      <c r="H418" t="s">
        <v>1103</v>
      </c>
      <c r="I418">
        <v>328</v>
      </c>
      <c r="J418">
        <v>1543095</v>
      </c>
    </row>
    <row r="419" spans="4:10" x14ac:dyDescent="0.25">
      <c r="D419">
        <v>3</v>
      </c>
      <c r="E419" t="s">
        <v>64</v>
      </c>
      <c r="F419" t="s">
        <v>1105</v>
      </c>
      <c r="G419">
        <v>77</v>
      </c>
      <c r="H419" t="s">
        <v>1106</v>
      </c>
      <c r="I419">
        <v>232</v>
      </c>
      <c r="J419">
        <v>1544123</v>
      </c>
    </row>
    <row r="420" spans="4:10" x14ac:dyDescent="0.25">
      <c r="D420">
        <v>3</v>
      </c>
      <c r="E420" t="s">
        <v>64</v>
      </c>
      <c r="F420" t="s">
        <v>1108</v>
      </c>
      <c r="G420">
        <v>98</v>
      </c>
      <c r="H420" t="s">
        <v>1109</v>
      </c>
      <c r="I420">
        <v>317</v>
      </c>
      <c r="J420">
        <v>1544882</v>
      </c>
    </row>
    <row r="421" spans="4:10" x14ac:dyDescent="0.25">
      <c r="D421">
        <v>3</v>
      </c>
      <c r="E421" t="s">
        <v>31</v>
      </c>
      <c r="F421" t="s">
        <v>1111</v>
      </c>
      <c r="G421">
        <v>77</v>
      </c>
      <c r="H421" t="s">
        <v>1112</v>
      </c>
      <c r="I421">
        <v>306</v>
      </c>
      <c r="J421">
        <v>1544179</v>
      </c>
    </row>
    <row r="422" spans="4:10" x14ac:dyDescent="0.25">
      <c r="D422">
        <v>3</v>
      </c>
      <c r="E422" t="s">
        <v>54</v>
      </c>
      <c r="F422" t="s">
        <v>1114</v>
      </c>
      <c r="G422">
        <v>212</v>
      </c>
      <c r="H422" t="s">
        <v>1115</v>
      </c>
      <c r="I422">
        <v>315</v>
      </c>
      <c r="J422">
        <v>1550116</v>
      </c>
    </row>
    <row r="423" spans="4:10" x14ac:dyDescent="0.25">
      <c r="D423">
        <v>3</v>
      </c>
      <c r="E423" t="s">
        <v>35</v>
      </c>
      <c r="F423" t="s">
        <v>1117</v>
      </c>
      <c r="G423">
        <v>131</v>
      </c>
      <c r="H423" t="s">
        <v>1118</v>
      </c>
      <c r="I423">
        <v>105</v>
      </c>
      <c r="J423">
        <v>1550295</v>
      </c>
    </row>
    <row r="424" spans="4:10" x14ac:dyDescent="0.25">
      <c r="D424">
        <v>3</v>
      </c>
      <c r="E424" t="s">
        <v>16</v>
      </c>
      <c r="F424" t="s">
        <v>1120</v>
      </c>
      <c r="G424">
        <v>44</v>
      </c>
      <c r="H424" t="s">
        <v>1121</v>
      </c>
      <c r="I424">
        <v>283</v>
      </c>
      <c r="J424">
        <v>1548401</v>
      </c>
    </row>
    <row r="425" spans="4:10" x14ac:dyDescent="0.25">
      <c r="D425">
        <v>3</v>
      </c>
      <c r="E425" t="s">
        <v>35</v>
      </c>
      <c r="F425" t="s">
        <v>1123</v>
      </c>
      <c r="G425">
        <v>104</v>
      </c>
      <c r="H425" t="s">
        <v>1124</v>
      </c>
      <c r="I425">
        <v>36</v>
      </c>
      <c r="J425">
        <v>1552375</v>
      </c>
    </row>
    <row r="426" spans="4:10" x14ac:dyDescent="0.25">
      <c r="D426">
        <v>3</v>
      </c>
      <c r="E426" t="s">
        <v>64</v>
      </c>
      <c r="F426" t="s">
        <v>1126</v>
      </c>
      <c r="G426">
        <v>104</v>
      </c>
      <c r="H426" t="s">
        <v>1127</v>
      </c>
      <c r="I426">
        <v>35</v>
      </c>
      <c r="J426">
        <v>1552378</v>
      </c>
    </row>
    <row r="427" spans="4:10" x14ac:dyDescent="0.25">
      <c r="D427">
        <v>3</v>
      </c>
      <c r="E427" t="s">
        <v>16</v>
      </c>
      <c r="F427" t="s">
        <v>1129</v>
      </c>
      <c r="G427">
        <v>104</v>
      </c>
      <c r="H427" t="s">
        <v>1130</v>
      </c>
      <c r="I427">
        <v>186</v>
      </c>
      <c r="J427">
        <v>1553031</v>
      </c>
    </row>
    <row r="428" spans="4:10" x14ac:dyDescent="0.25">
      <c r="D428">
        <v>3</v>
      </c>
      <c r="E428" t="s">
        <v>54</v>
      </c>
      <c r="F428" t="s">
        <v>1132</v>
      </c>
      <c r="G428">
        <v>33</v>
      </c>
      <c r="H428" t="s">
        <v>1133</v>
      </c>
      <c r="I428">
        <v>82</v>
      </c>
      <c r="J428">
        <v>1555185</v>
      </c>
    </row>
    <row r="429" spans="4:10" x14ac:dyDescent="0.25">
      <c r="D429">
        <v>3</v>
      </c>
      <c r="E429" t="s">
        <v>39</v>
      </c>
      <c r="F429" t="s">
        <v>1135</v>
      </c>
      <c r="G429">
        <v>54</v>
      </c>
      <c r="H429" t="s">
        <v>1136</v>
      </c>
      <c r="I429">
        <v>85</v>
      </c>
      <c r="J429">
        <v>1555548</v>
      </c>
    </row>
    <row r="430" spans="4:10" x14ac:dyDescent="0.25">
      <c r="D430">
        <v>3</v>
      </c>
      <c r="E430" t="s">
        <v>31</v>
      </c>
      <c r="F430" t="s">
        <v>1138</v>
      </c>
      <c r="G430">
        <v>4</v>
      </c>
      <c r="H430" t="s">
        <v>1139</v>
      </c>
      <c r="I430">
        <v>325</v>
      </c>
      <c r="J430">
        <v>1559387</v>
      </c>
    </row>
    <row r="431" spans="4:10" x14ac:dyDescent="0.25">
      <c r="D431">
        <v>3</v>
      </c>
      <c r="E431" t="s">
        <v>16</v>
      </c>
      <c r="F431" t="s">
        <v>1141</v>
      </c>
      <c r="G431">
        <v>14</v>
      </c>
      <c r="H431" t="s">
        <v>1142</v>
      </c>
      <c r="I431">
        <v>234</v>
      </c>
      <c r="J431">
        <v>1560673</v>
      </c>
    </row>
    <row r="432" spans="4:10" x14ac:dyDescent="0.25">
      <c r="D432">
        <v>3</v>
      </c>
      <c r="E432" t="s">
        <v>35</v>
      </c>
      <c r="F432" t="s">
        <v>1144</v>
      </c>
      <c r="G432">
        <v>14</v>
      </c>
      <c r="H432" t="s">
        <v>1145</v>
      </c>
      <c r="I432">
        <v>236</v>
      </c>
      <c r="J432">
        <v>1560677</v>
      </c>
    </row>
    <row r="433" spans="4:10" x14ac:dyDescent="0.25">
      <c r="D433">
        <v>3</v>
      </c>
      <c r="E433" t="s">
        <v>43</v>
      </c>
      <c r="F433" t="s">
        <v>1147</v>
      </c>
      <c r="G433">
        <v>104</v>
      </c>
      <c r="H433" t="s">
        <v>1148</v>
      </c>
      <c r="I433">
        <v>18</v>
      </c>
      <c r="J433">
        <v>1560762</v>
      </c>
    </row>
    <row r="434" spans="4:10" x14ac:dyDescent="0.25">
      <c r="D434">
        <v>3</v>
      </c>
      <c r="E434" t="s">
        <v>107</v>
      </c>
      <c r="F434" t="s">
        <v>1150</v>
      </c>
      <c r="G434">
        <v>131</v>
      </c>
      <c r="H434" t="s">
        <v>1151</v>
      </c>
      <c r="I434">
        <v>176</v>
      </c>
      <c r="J434">
        <v>1561138</v>
      </c>
    </row>
    <row r="435" spans="4:10" x14ac:dyDescent="0.25">
      <c r="D435">
        <v>3</v>
      </c>
      <c r="E435" t="s">
        <v>35</v>
      </c>
      <c r="F435" t="s">
        <v>1153</v>
      </c>
      <c r="G435">
        <v>216</v>
      </c>
      <c r="H435" t="s">
        <v>1154</v>
      </c>
      <c r="I435">
        <v>324</v>
      </c>
      <c r="J435">
        <v>1562157</v>
      </c>
    </row>
    <row r="436" spans="4:10" x14ac:dyDescent="0.25">
      <c r="D436">
        <v>3</v>
      </c>
      <c r="E436" t="s">
        <v>20</v>
      </c>
      <c r="F436" t="s">
        <v>1156</v>
      </c>
      <c r="G436">
        <v>104</v>
      </c>
      <c r="H436" t="s">
        <v>1157</v>
      </c>
      <c r="I436">
        <v>288</v>
      </c>
      <c r="J436">
        <v>1562400</v>
      </c>
    </row>
    <row r="437" spans="4:10" x14ac:dyDescent="0.25">
      <c r="D437">
        <v>3</v>
      </c>
      <c r="E437" t="s">
        <v>107</v>
      </c>
      <c r="F437" t="s">
        <v>1159</v>
      </c>
      <c r="G437">
        <v>62</v>
      </c>
      <c r="H437" t="s">
        <v>1160</v>
      </c>
      <c r="I437">
        <v>151</v>
      </c>
      <c r="J437">
        <v>1562788</v>
      </c>
    </row>
    <row r="438" spans="4:10" x14ac:dyDescent="0.25">
      <c r="D438">
        <v>3</v>
      </c>
      <c r="E438" t="s">
        <v>50</v>
      </c>
      <c r="F438" t="s">
        <v>1162</v>
      </c>
      <c r="G438">
        <v>164</v>
      </c>
      <c r="H438" t="s">
        <v>1163</v>
      </c>
      <c r="I438">
        <v>235</v>
      </c>
      <c r="J438">
        <v>1563321</v>
      </c>
    </row>
    <row r="439" spans="4:10" x14ac:dyDescent="0.25">
      <c r="D439">
        <v>3</v>
      </c>
      <c r="E439" t="s">
        <v>12</v>
      </c>
      <c r="F439" t="s">
        <v>1165</v>
      </c>
      <c r="G439">
        <v>131</v>
      </c>
      <c r="H439" t="s">
        <v>1166</v>
      </c>
      <c r="I439">
        <v>177</v>
      </c>
      <c r="J439">
        <v>1563437</v>
      </c>
    </row>
    <row r="440" spans="4:10" x14ac:dyDescent="0.25">
      <c r="D440">
        <v>3</v>
      </c>
      <c r="E440" t="s">
        <v>183</v>
      </c>
      <c r="F440" t="s">
        <v>1168</v>
      </c>
      <c r="G440">
        <v>66</v>
      </c>
      <c r="H440" t="s">
        <v>1169</v>
      </c>
      <c r="I440">
        <v>175</v>
      </c>
      <c r="J440">
        <v>1563544</v>
      </c>
    </row>
    <row r="441" spans="4:10" x14ac:dyDescent="0.25">
      <c r="D441">
        <v>3</v>
      </c>
      <c r="E441" t="s">
        <v>107</v>
      </c>
      <c r="F441" t="s">
        <v>1171</v>
      </c>
      <c r="G441">
        <v>194</v>
      </c>
      <c r="H441" t="s">
        <v>1172</v>
      </c>
      <c r="I441">
        <v>117</v>
      </c>
      <c r="J441">
        <v>1564023</v>
      </c>
    </row>
    <row r="442" spans="4:10" x14ac:dyDescent="0.25">
      <c r="D442">
        <v>3</v>
      </c>
      <c r="E442" t="s">
        <v>20</v>
      </c>
      <c r="F442" t="s">
        <v>1174</v>
      </c>
      <c r="G442">
        <v>106</v>
      </c>
      <c r="H442" t="s">
        <v>1175</v>
      </c>
      <c r="I442">
        <v>37</v>
      </c>
      <c r="J442">
        <v>1564189</v>
      </c>
    </row>
    <row r="443" spans="4:10" x14ac:dyDescent="0.25">
      <c r="D443">
        <v>3</v>
      </c>
      <c r="E443" t="s">
        <v>16</v>
      </c>
      <c r="F443" t="s">
        <v>1177</v>
      </c>
      <c r="G443">
        <v>54</v>
      </c>
      <c r="H443" t="s">
        <v>1178</v>
      </c>
      <c r="I443">
        <v>110</v>
      </c>
      <c r="J443">
        <v>1564506</v>
      </c>
    </row>
    <row r="444" spans="4:10" x14ac:dyDescent="0.25">
      <c r="D444">
        <v>3</v>
      </c>
      <c r="E444" t="s">
        <v>255</v>
      </c>
      <c r="F444" t="s">
        <v>1180</v>
      </c>
      <c r="G444">
        <v>216</v>
      </c>
      <c r="H444" t="s">
        <v>1181</v>
      </c>
      <c r="I444">
        <v>180</v>
      </c>
      <c r="J444">
        <v>1565754</v>
      </c>
    </row>
    <row r="445" spans="4:10" x14ac:dyDescent="0.25">
      <c r="D445">
        <v>3</v>
      </c>
      <c r="E445" t="s">
        <v>24</v>
      </c>
      <c r="F445" t="s">
        <v>1183</v>
      </c>
      <c r="G445">
        <v>14</v>
      </c>
      <c r="H445" t="s">
        <v>1184</v>
      </c>
      <c r="I445">
        <v>172</v>
      </c>
      <c r="J445">
        <v>1566421</v>
      </c>
    </row>
    <row r="446" spans="4:10" x14ac:dyDescent="0.25">
      <c r="D446">
        <v>3</v>
      </c>
      <c r="E446" t="s">
        <v>50</v>
      </c>
      <c r="F446" t="s">
        <v>1186</v>
      </c>
      <c r="G446">
        <v>111</v>
      </c>
      <c r="H446" t="s">
        <v>1187</v>
      </c>
      <c r="I446">
        <v>316</v>
      </c>
      <c r="J446">
        <v>1566601</v>
      </c>
    </row>
    <row r="447" spans="4:10" x14ac:dyDescent="0.25">
      <c r="D447">
        <v>3</v>
      </c>
      <c r="E447" t="s">
        <v>43</v>
      </c>
      <c r="F447" t="s">
        <v>1189</v>
      </c>
      <c r="G447">
        <v>129</v>
      </c>
      <c r="H447" t="s">
        <v>1190</v>
      </c>
      <c r="I447">
        <v>70</v>
      </c>
      <c r="J447">
        <v>1566617</v>
      </c>
    </row>
    <row r="448" spans="4:10" x14ac:dyDescent="0.25">
      <c r="D448">
        <v>3</v>
      </c>
      <c r="E448" t="s">
        <v>50</v>
      </c>
      <c r="F448" t="s">
        <v>1192</v>
      </c>
      <c r="G448">
        <v>111</v>
      </c>
      <c r="H448" t="s">
        <v>1193</v>
      </c>
      <c r="I448">
        <v>314</v>
      </c>
      <c r="J448">
        <v>1566627</v>
      </c>
    </row>
    <row r="449" spans="4:10" x14ac:dyDescent="0.25">
      <c r="D449">
        <v>3</v>
      </c>
      <c r="E449" t="s">
        <v>64</v>
      </c>
      <c r="F449" t="s">
        <v>1195</v>
      </c>
      <c r="G449">
        <v>111</v>
      </c>
      <c r="H449" t="s">
        <v>1196</v>
      </c>
      <c r="I449">
        <v>312</v>
      </c>
      <c r="J449">
        <v>1566631</v>
      </c>
    </row>
    <row r="450" spans="4:10" x14ac:dyDescent="0.25">
      <c r="D450">
        <v>3</v>
      </c>
      <c r="E450" t="s">
        <v>16</v>
      </c>
      <c r="F450" t="s">
        <v>1198</v>
      </c>
      <c r="G450">
        <v>168</v>
      </c>
      <c r="H450" t="s">
        <v>1199</v>
      </c>
      <c r="I450">
        <v>33</v>
      </c>
      <c r="J450">
        <v>1566681</v>
      </c>
    </row>
    <row r="451" spans="4:10" x14ac:dyDescent="0.25">
      <c r="D451">
        <v>3</v>
      </c>
      <c r="E451" t="s">
        <v>16</v>
      </c>
      <c r="F451" t="s">
        <v>1201</v>
      </c>
      <c r="G451">
        <v>208</v>
      </c>
      <c r="H451" t="s">
        <v>1202</v>
      </c>
      <c r="I451">
        <v>287</v>
      </c>
      <c r="J451">
        <v>1566738</v>
      </c>
    </row>
    <row r="452" spans="4:10" x14ac:dyDescent="0.25">
      <c r="D452">
        <v>3</v>
      </c>
      <c r="E452" t="s">
        <v>155</v>
      </c>
      <c r="F452" t="s">
        <v>1204</v>
      </c>
      <c r="G452">
        <v>216</v>
      </c>
      <c r="H452" t="s">
        <v>1205</v>
      </c>
      <c r="I452">
        <v>181</v>
      </c>
      <c r="J452">
        <v>1566931</v>
      </c>
    </row>
    <row r="453" spans="4:10" x14ac:dyDescent="0.25">
      <c r="D453">
        <v>3</v>
      </c>
      <c r="E453" t="s">
        <v>43</v>
      </c>
      <c r="F453" t="s">
        <v>1207</v>
      </c>
      <c r="G453">
        <v>72</v>
      </c>
      <c r="H453" t="s">
        <v>1208</v>
      </c>
      <c r="I453">
        <v>239</v>
      </c>
      <c r="J453">
        <v>1567359</v>
      </c>
    </row>
    <row r="454" spans="4:10" x14ac:dyDescent="0.25">
      <c r="D454">
        <v>3</v>
      </c>
      <c r="E454" t="s">
        <v>155</v>
      </c>
      <c r="F454" t="s">
        <v>1210</v>
      </c>
      <c r="G454">
        <v>201</v>
      </c>
      <c r="H454" t="s">
        <v>1211</v>
      </c>
      <c r="I454">
        <v>181</v>
      </c>
      <c r="J454">
        <v>1567512</v>
      </c>
    </row>
    <row r="455" spans="4:10" x14ac:dyDescent="0.25">
      <c r="D455">
        <v>3</v>
      </c>
      <c r="E455" t="s">
        <v>50</v>
      </c>
      <c r="F455" t="s">
        <v>1213</v>
      </c>
      <c r="G455">
        <v>208</v>
      </c>
      <c r="H455" t="s">
        <v>1214</v>
      </c>
      <c r="I455">
        <v>90</v>
      </c>
      <c r="J455">
        <v>1568204</v>
      </c>
    </row>
    <row r="456" spans="4:10" x14ac:dyDescent="0.25">
      <c r="D456">
        <v>3</v>
      </c>
      <c r="E456" t="s">
        <v>35</v>
      </c>
      <c r="F456" t="s">
        <v>1216</v>
      </c>
      <c r="G456">
        <v>104</v>
      </c>
      <c r="H456" t="s">
        <v>1217</v>
      </c>
      <c r="I456">
        <v>309</v>
      </c>
      <c r="J456">
        <v>1568724</v>
      </c>
    </row>
    <row r="457" spans="4:10" x14ac:dyDescent="0.25">
      <c r="D457">
        <v>3</v>
      </c>
      <c r="E457" t="s">
        <v>54</v>
      </c>
      <c r="F457" t="s">
        <v>1219</v>
      </c>
      <c r="G457">
        <v>205</v>
      </c>
      <c r="H457" t="s">
        <v>1220</v>
      </c>
      <c r="I457">
        <v>303</v>
      </c>
      <c r="J457">
        <v>1569563</v>
      </c>
    </row>
    <row r="458" spans="4:10" x14ac:dyDescent="0.25">
      <c r="D458">
        <v>3</v>
      </c>
      <c r="E458" t="s">
        <v>16</v>
      </c>
      <c r="F458" t="s">
        <v>1221</v>
      </c>
      <c r="G458">
        <v>3</v>
      </c>
      <c r="H458" t="s">
        <v>1222</v>
      </c>
      <c r="I458">
        <v>310</v>
      </c>
      <c r="J458">
        <v>1569832</v>
      </c>
    </row>
    <row r="459" spans="4:10" x14ac:dyDescent="0.25">
      <c r="D459">
        <v>3</v>
      </c>
      <c r="E459" t="s">
        <v>20</v>
      </c>
      <c r="F459" t="s">
        <v>1224</v>
      </c>
      <c r="G459">
        <v>205</v>
      </c>
      <c r="H459" t="s">
        <v>1225</v>
      </c>
      <c r="I459">
        <v>220</v>
      </c>
      <c r="J459">
        <v>1569852</v>
      </c>
    </row>
    <row r="460" spans="4:10" x14ac:dyDescent="0.25">
      <c r="D460">
        <v>3</v>
      </c>
      <c r="E460" t="s">
        <v>16</v>
      </c>
      <c r="F460" t="s">
        <v>1226</v>
      </c>
      <c r="G460">
        <v>93</v>
      </c>
      <c r="H460" t="s">
        <v>1227</v>
      </c>
      <c r="I460">
        <v>102</v>
      </c>
      <c r="J460">
        <v>1569972</v>
      </c>
    </row>
    <row r="461" spans="4:10" x14ac:dyDescent="0.25">
      <c r="D461">
        <v>3</v>
      </c>
      <c r="E461" t="s">
        <v>50</v>
      </c>
      <c r="F461" t="s">
        <v>1229</v>
      </c>
      <c r="G461">
        <v>53</v>
      </c>
      <c r="H461" t="s">
        <v>1230</v>
      </c>
      <c r="I461">
        <v>284</v>
      </c>
      <c r="J461">
        <v>1569986</v>
      </c>
    </row>
    <row r="462" spans="4:10" x14ac:dyDescent="0.25">
      <c r="D462">
        <v>3</v>
      </c>
      <c r="E462" t="s">
        <v>64</v>
      </c>
      <c r="F462" t="s">
        <v>1232</v>
      </c>
      <c r="G462">
        <v>208</v>
      </c>
      <c r="H462" t="s">
        <v>1233</v>
      </c>
      <c r="I462">
        <v>322</v>
      </c>
      <c r="J462">
        <v>1570415</v>
      </c>
    </row>
    <row r="463" spans="4:10" x14ac:dyDescent="0.25">
      <c r="D463">
        <v>3</v>
      </c>
      <c r="E463" t="s">
        <v>16</v>
      </c>
      <c r="F463" t="s">
        <v>1235</v>
      </c>
      <c r="G463">
        <v>208</v>
      </c>
      <c r="H463" t="s">
        <v>1236</v>
      </c>
      <c r="I463">
        <v>329</v>
      </c>
      <c r="J463">
        <v>1570546</v>
      </c>
    </row>
    <row r="464" spans="4:10" x14ac:dyDescent="0.25">
      <c r="D464">
        <v>3</v>
      </c>
      <c r="E464" t="s">
        <v>8</v>
      </c>
      <c r="F464" t="s">
        <v>1238</v>
      </c>
      <c r="G464">
        <v>201</v>
      </c>
      <c r="H464" t="s">
        <v>1239</v>
      </c>
      <c r="I464">
        <v>178</v>
      </c>
      <c r="J464">
        <v>1570561</v>
      </c>
    </row>
    <row r="465" spans="4:10" x14ac:dyDescent="0.25">
      <c r="D465">
        <v>3</v>
      </c>
      <c r="E465" t="s">
        <v>54</v>
      </c>
      <c r="F465" t="s">
        <v>1241</v>
      </c>
      <c r="G465">
        <v>54</v>
      </c>
      <c r="H465" t="s">
        <v>1242</v>
      </c>
      <c r="I465">
        <v>313</v>
      </c>
      <c r="J465">
        <v>1571498</v>
      </c>
    </row>
    <row r="466" spans="4:10" x14ac:dyDescent="0.25">
      <c r="D466">
        <v>3</v>
      </c>
      <c r="E466" t="s">
        <v>50</v>
      </c>
      <c r="F466" t="s">
        <v>1244</v>
      </c>
      <c r="G466">
        <v>54</v>
      </c>
      <c r="H466" t="s">
        <v>1245</v>
      </c>
      <c r="I466">
        <v>316</v>
      </c>
      <c r="J466">
        <v>1571504</v>
      </c>
    </row>
    <row r="467" spans="4:10" x14ac:dyDescent="0.25">
      <c r="D467">
        <v>3</v>
      </c>
      <c r="E467" t="s">
        <v>39</v>
      </c>
      <c r="F467" t="s">
        <v>1247</v>
      </c>
      <c r="G467">
        <v>212</v>
      </c>
      <c r="H467" t="s">
        <v>1248</v>
      </c>
      <c r="I467">
        <v>39</v>
      </c>
      <c r="J467">
        <v>1571563</v>
      </c>
    </row>
    <row r="468" spans="4:10" x14ac:dyDescent="0.25">
      <c r="D468">
        <v>3</v>
      </c>
      <c r="E468" t="s">
        <v>39</v>
      </c>
      <c r="F468" t="s">
        <v>1250</v>
      </c>
      <c r="G468">
        <v>212</v>
      </c>
      <c r="H468" t="s">
        <v>1251</v>
      </c>
      <c r="I468">
        <v>56</v>
      </c>
      <c r="J468">
        <v>1571577</v>
      </c>
    </row>
    <row r="469" spans="4:10" x14ac:dyDescent="0.25">
      <c r="D469">
        <v>3</v>
      </c>
      <c r="E469" t="s">
        <v>183</v>
      </c>
      <c r="F469" t="s">
        <v>1253</v>
      </c>
      <c r="G469">
        <v>194</v>
      </c>
      <c r="H469" t="s">
        <v>1254</v>
      </c>
      <c r="I469">
        <v>168</v>
      </c>
      <c r="J469">
        <v>1571911</v>
      </c>
    </row>
    <row r="470" spans="4:10" x14ac:dyDescent="0.25">
      <c r="D470">
        <v>3</v>
      </c>
      <c r="E470" t="s">
        <v>35</v>
      </c>
      <c r="F470" t="s">
        <v>1256</v>
      </c>
      <c r="G470">
        <v>164</v>
      </c>
      <c r="H470" t="s">
        <v>1257</v>
      </c>
      <c r="I470">
        <v>47</v>
      </c>
      <c r="J470">
        <v>1573098</v>
      </c>
    </row>
    <row r="471" spans="4:10" x14ac:dyDescent="0.25">
      <c r="D471">
        <v>3</v>
      </c>
      <c r="E471" t="s">
        <v>20</v>
      </c>
      <c r="F471" t="s">
        <v>1259</v>
      </c>
      <c r="G471">
        <v>85</v>
      </c>
      <c r="H471" t="s">
        <v>1260</v>
      </c>
      <c r="I471">
        <v>41</v>
      </c>
      <c r="J471">
        <v>1573388</v>
      </c>
    </row>
    <row r="472" spans="4:10" x14ac:dyDescent="0.25">
      <c r="D472">
        <v>3</v>
      </c>
      <c r="E472" t="s">
        <v>54</v>
      </c>
      <c r="F472" t="s">
        <v>1262</v>
      </c>
      <c r="G472">
        <v>85</v>
      </c>
      <c r="H472" t="s">
        <v>1263</v>
      </c>
      <c r="I472">
        <v>40</v>
      </c>
      <c r="J472">
        <v>1573418</v>
      </c>
    </row>
    <row r="473" spans="4:10" x14ac:dyDescent="0.25">
      <c r="D473">
        <v>3</v>
      </c>
      <c r="E473" t="s">
        <v>31</v>
      </c>
      <c r="F473" t="s">
        <v>1265</v>
      </c>
      <c r="G473">
        <v>113</v>
      </c>
      <c r="H473" t="s">
        <v>1266</v>
      </c>
      <c r="I473">
        <v>185</v>
      </c>
      <c r="J473">
        <v>1786902</v>
      </c>
    </row>
    <row r="474" spans="4:10" x14ac:dyDescent="0.25">
      <c r="D474">
        <v>3</v>
      </c>
      <c r="E474" t="s">
        <v>43</v>
      </c>
      <c r="F474" t="s">
        <v>1267</v>
      </c>
      <c r="G474">
        <v>205</v>
      </c>
      <c r="H474" t="s">
        <v>1268</v>
      </c>
      <c r="I474">
        <v>13</v>
      </c>
      <c r="J474">
        <v>1878037</v>
      </c>
    </row>
    <row r="475" spans="4:10" x14ac:dyDescent="0.25">
      <c r="D475">
        <v>3</v>
      </c>
      <c r="E475" t="s">
        <v>50</v>
      </c>
      <c r="F475" t="s">
        <v>1269</v>
      </c>
      <c r="G475">
        <v>151</v>
      </c>
      <c r="H475" t="s">
        <v>1270</v>
      </c>
      <c r="I475">
        <v>211</v>
      </c>
      <c r="J475">
        <v>1878602</v>
      </c>
    </row>
    <row r="476" spans="4:10" x14ac:dyDescent="0.25">
      <c r="D476">
        <v>3</v>
      </c>
      <c r="E476" t="s">
        <v>16</v>
      </c>
      <c r="F476" t="s">
        <v>1272</v>
      </c>
      <c r="G476">
        <v>151</v>
      </c>
      <c r="H476" t="s">
        <v>1273</v>
      </c>
      <c r="I476">
        <v>321</v>
      </c>
      <c r="J476">
        <v>1878635</v>
      </c>
    </row>
    <row r="477" spans="4:10" x14ac:dyDescent="0.25">
      <c r="D477">
        <v>3</v>
      </c>
      <c r="E477" t="s">
        <v>50</v>
      </c>
      <c r="F477" t="s">
        <v>1275</v>
      </c>
      <c r="G477">
        <v>72</v>
      </c>
      <c r="H477" t="s">
        <v>1276</v>
      </c>
      <c r="I477">
        <v>87</v>
      </c>
      <c r="J477">
        <v>1879120</v>
      </c>
    </row>
    <row r="478" spans="4:10" x14ac:dyDescent="0.25">
      <c r="D478">
        <v>3</v>
      </c>
      <c r="E478" t="s">
        <v>54</v>
      </c>
      <c r="F478" t="s">
        <v>1278</v>
      </c>
      <c r="G478">
        <v>57</v>
      </c>
      <c r="H478" t="s">
        <v>1279</v>
      </c>
      <c r="I478">
        <v>315</v>
      </c>
      <c r="J478">
        <v>1879518</v>
      </c>
    </row>
    <row r="479" spans="4:10" x14ac:dyDescent="0.25">
      <c r="D479">
        <v>3</v>
      </c>
      <c r="E479" t="s">
        <v>20</v>
      </c>
      <c r="F479" t="s">
        <v>1281</v>
      </c>
      <c r="G479">
        <v>205</v>
      </c>
      <c r="H479" t="s">
        <v>1282</v>
      </c>
      <c r="I479">
        <v>91</v>
      </c>
      <c r="J479">
        <v>1887970</v>
      </c>
    </row>
    <row r="480" spans="4:10" x14ac:dyDescent="0.25">
      <c r="D480">
        <v>3</v>
      </c>
      <c r="E480" t="s">
        <v>64</v>
      </c>
      <c r="F480" t="s">
        <v>1283</v>
      </c>
      <c r="G480">
        <v>205</v>
      </c>
      <c r="H480" t="s">
        <v>1284</v>
      </c>
      <c r="I480">
        <v>92</v>
      </c>
      <c r="J480">
        <v>1887975</v>
      </c>
    </row>
    <row r="481" spans="4:10" x14ac:dyDescent="0.25">
      <c r="D481">
        <v>3</v>
      </c>
      <c r="E481" t="s">
        <v>12</v>
      </c>
      <c r="F481" t="s">
        <v>1285</v>
      </c>
      <c r="G481">
        <v>53</v>
      </c>
      <c r="H481" t="s">
        <v>1286</v>
      </c>
      <c r="I481">
        <v>215</v>
      </c>
      <c r="J481">
        <v>1888047</v>
      </c>
    </row>
    <row r="482" spans="4:10" x14ac:dyDescent="0.25">
      <c r="D482">
        <v>3</v>
      </c>
      <c r="E482" t="s">
        <v>39</v>
      </c>
      <c r="F482" t="s">
        <v>1288</v>
      </c>
      <c r="G482">
        <v>72</v>
      </c>
      <c r="H482" t="s">
        <v>1289</v>
      </c>
      <c r="I482">
        <v>275</v>
      </c>
      <c r="J482">
        <v>1889177</v>
      </c>
    </row>
    <row r="483" spans="4:10" x14ac:dyDescent="0.25">
      <c r="D483">
        <v>3</v>
      </c>
      <c r="E483" t="s">
        <v>255</v>
      </c>
      <c r="F483" t="s">
        <v>1291</v>
      </c>
      <c r="G483">
        <v>42</v>
      </c>
      <c r="H483" t="s">
        <v>1292</v>
      </c>
      <c r="I483">
        <v>173</v>
      </c>
      <c r="J483">
        <v>1891067</v>
      </c>
    </row>
    <row r="484" spans="4:10" x14ac:dyDescent="0.25">
      <c r="D484">
        <v>3</v>
      </c>
      <c r="E484" t="s">
        <v>183</v>
      </c>
      <c r="F484" t="s">
        <v>1293</v>
      </c>
      <c r="G484">
        <v>72</v>
      </c>
      <c r="H484" t="s">
        <v>1294</v>
      </c>
      <c r="I484">
        <v>168</v>
      </c>
      <c r="J484">
        <v>1891280</v>
      </c>
    </row>
    <row r="485" spans="4:10" x14ac:dyDescent="0.25">
      <c r="D485">
        <v>3</v>
      </c>
      <c r="E485" t="s">
        <v>107</v>
      </c>
      <c r="F485" t="s">
        <v>1296</v>
      </c>
      <c r="G485">
        <v>72</v>
      </c>
      <c r="H485" t="s">
        <v>1297</v>
      </c>
      <c r="I485">
        <v>169</v>
      </c>
      <c r="J485">
        <v>1891283</v>
      </c>
    </row>
    <row r="486" spans="4:10" x14ac:dyDescent="0.25">
      <c r="D486">
        <v>3</v>
      </c>
      <c r="E486" t="s">
        <v>12</v>
      </c>
      <c r="F486" t="s">
        <v>1299</v>
      </c>
      <c r="G486">
        <v>72</v>
      </c>
      <c r="H486" t="s">
        <v>1300</v>
      </c>
      <c r="I486">
        <v>170</v>
      </c>
      <c r="J486">
        <v>1891286</v>
      </c>
    </row>
    <row r="487" spans="4:10" x14ac:dyDescent="0.25">
      <c r="D487">
        <v>3</v>
      </c>
      <c r="E487" t="s">
        <v>8</v>
      </c>
      <c r="F487" t="s">
        <v>1302</v>
      </c>
      <c r="G487">
        <v>72</v>
      </c>
      <c r="H487" t="s">
        <v>1303</v>
      </c>
      <c r="I487">
        <v>171</v>
      </c>
      <c r="J487">
        <v>1891289</v>
      </c>
    </row>
    <row r="488" spans="4:10" x14ac:dyDescent="0.25">
      <c r="D488">
        <v>3</v>
      </c>
      <c r="E488" t="s">
        <v>155</v>
      </c>
      <c r="F488" t="s">
        <v>1305</v>
      </c>
      <c r="G488">
        <v>72</v>
      </c>
      <c r="H488" t="s">
        <v>1306</v>
      </c>
      <c r="I488">
        <v>174</v>
      </c>
      <c r="J488">
        <v>1891300</v>
      </c>
    </row>
    <row r="489" spans="4:10" x14ac:dyDescent="0.25">
      <c r="D489">
        <v>3</v>
      </c>
      <c r="E489" t="s">
        <v>24</v>
      </c>
      <c r="F489" t="s">
        <v>1308</v>
      </c>
      <c r="G489">
        <v>72</v>
      </c>
      <c r="H489" t="s">
        <v>1309</v>
      </c>
      <c r="I489">
        <v>179</v>
      </c>
      <c r="J489">
        <v>1891318</v>
      </c>
    </row>
    <row r="490" spans="4:10" x14ac:dyDescent="0.25">
      <c r="D490">
        <v>3</v>
      </c>
      <c r="E490" t="s">
        <v>39</v>
      </c>
      <c r="F490" t="s">
        <v>1311</v>
      </c>
      <c r="G490">
        <v>113</v>
      </c>
      <c r="H490" t="s">
        <v>1312</v>
      </c>
      <c r="I490">
        <v>89</v>
      </c>
      <c r="J490">
        <v>1891890</v>
      </c>
    </row>
    <row r="491" spans="4:10" x14ac:dyDescent="0.25">
      <c r="D491">
        <v>3</v>
      </c>
      <c r="E491" t="s">
        <v>16</v>
      </c>
      <c r="F491" t="s">
        <v>1313</v>
      </c>
      <c r="G491">
        <v>56</v>
      </c>
      <c r="H491" t="s">
        <v>1314</v>
      </c>
      <c r="I491">
        <v>63</v>
      </c>
      <c r="J491">
        <v>1892137</v>
      </c>
    </row>
    <row r="492" spans="4:10" x14ac:dyDescent="0.25">
      <c r="D492">
        <v>3</v>
      </c>
      <c r="E492" t="s">
        <v>16</v>
      </c>
      <c r="F492" t="s">
        <v>1316</v>
      </c>
      <c r="G492">
        <v>57</v>
      </c>
      <c r="H492" t="s">
        <v>1317</v>
      </c>
      <c r="I492">
        <v>107</v>
      </c>
      <c r="J492">
        <v>1892423</v>
      </c>
    </row>
    <row r="493" spans="4:10" x14ac:dyDescent="0.25">
      <c r="D493">
        <v>3</v>
      </c>
      <c r="E493" t="s">
        <v>255</v>
      </c>
      <c r="F493" t="s">
        <v>1319</v>
      </c>
      <c r="G493">
        <v>102</v>
      </c>
      <c r="H493" t="s">
        <v>1320</v>
      </c>
      <c r="I493">
        <v>180</v>
      </c>
      <c r="J493">
        <v>1892957</v>
      </c>
    </row>
    <row r="494" spans="4:10" x14ac:dyDescent="0.25">
      <c r="D494">
        <v>3</v>
      </c>
      <c r="E494" t="s">
        <v>50</v>
      </c>
      <c r="F494" t="s">
        <v>1322</v>
      </c>
      <c r="G494">
        <v>72</v>
      </c>
      <c r="H494" t="s">
        <v>1323</v>
      </c>
      <c r="I494">
        <v>280</v>
      </c>
      <c r="J494">
        <v>1893274</v>
      </c>
    </row>
    <row r="495" spans="4:10" x14ac:dyDescent="0.25">
      <c r="D495">
        <v>3</v>
      </c>
      <c r="E495" t="s">
        <v>54</v>
      </c>
      <c r="F495" t="s">
        <v>1325</v>
      </c>
      <c r="G495">
        <v>63</v>
      </c>
      <c r="H495" t="s">
        <v>1326</v>
      </c>
      <c r="I495">
        <v>93</v>
      </c>
      <c r="J495">
        <v>1894537</v>
      </c>
    </row>
    <row r="496" spans="4:10" x14ac:dyDescent="0.25">
      <c r="D496">
        <v>3</v>
      </c>
      <c r="E496" t="s">
        <v>35</v>
      </c>
      <c r="F496" t="s">
        <v>1328</v>
      </c>
      <c r="G496">
        <v>20</v>
      </c>
      <c r="H496" t="s">
        <v>1329</v>
      </c>
      <c r="I496">
        <v>64</v>
      </c>
      <c r="J496">
        <v>1895596</v>
      </c>
    </row>
    <row r="497" spans="4:10" x14ac:dyDescent="0.25">
      <c r="D497">
        <v>3</v>
      </c>
      <c r="E497" t="s">
        <v>24</v>
      </c>
      <c r="F497" t="s">
        <v>1330</v>
      </c>
      <c r="G497">
        <v>72</v>
      </c>
      <c r="H497" t="s">
        <v>1331</v>
      </c>
      <c r="I497">
        <v>113</v>
      </c>
      <c r="J497">
        <v>1895685</v>
      </c>
    </row>
    <row r="498" spans="4:10" x14ac:dyDescent="0.25">
      <c r="D498">
        <v>3</v>
      </c>
      <c r="E498" t="s">
        <v>20</v>
      </c>
      <c r="F498" t="s">
        <v>1333</v>
      </c>
      <c r="G498">
        <v>72</v>
      </c>
      <c r="H498" t="s">
        <v>1334</v>
      </c>
      <c r="I498">
        <v>118</v>
      </c>
      <c r="J498">
        <v>1895694</v>
      </c>
    </row>
    <row r="499" spans="4:10" x14ac:dyDescent="0.25">
      <c r="D499">
        <v>3</v>
      </c>
      <c r="E499" t="s">
        <v>155</v>
      </c>
      <c r="F499" t="s">
        <v>1336</v>
      </c>
      <c r="G499">
        <v>72</v>
      </c>
      <c r="H499" t="s">
        <v>1337</v>
      </c>
      <c r="I499">
        <v>115</v>
      </c>
      <c r="J499">
        <v>1895700</v>
      </c>
    </row>
    <row r="500" spans="4:10" x14ac:dyDescent="0.25">
      <c r="D500">
        <v>3</v>
      </c>
      <c r="E500" t="s">
        <v>50</v>
      </c>
      <c r="F500" t="s">
        <v>1339</v>
      </c>
      <c r="G500">
        <v>82</v>
      </c>
      <c r="H500" t="s">
        <v>1340</v>
      </c>
      <c r="I500">
        <v>87</v>
      </c>
      <c r="J500">
        <v>1895903</v>
      </c>
    </row>
    <row r="501" spans="4:10" x14ac:dyDescent="0.25">
      <c r="D501">
        <v>3</v>
      </c>
      <c r="E501" t="s">
        <v>107</v>
      </c>
      <c r="F501" t="s">
        <v>1342</v>
      </c>
      <c r="G501">
        <v>77</v>
      </c>
      <c r="H501" t="s">
        <v>1343</v>
      </c>
      <c r="I501">
        <v>97</v>
      </c>
      <c r="J501">
        <v>1896045</v>
      </c>
    </row>
    <row r="502" spans="4:10" x14ac:dyDescent="0.25">
      <c r="D502">
        <v>3</v>
      </c>
      <c r="E502" t="s">
        <v>43</v>
      </c>
      <c r="F502" t="s">
        <v>1342</v>
      </c>
      <c r="G502">
        <v>77</v>
      </c>
      <c r="H502" t="s">
        <v>1343</v>
      </c>
      <c r="I502">
        <v>101</v>
      </c>
      <c r="J502">
        <v>1896045</v>
      </c>
    </row>
    <row r="503" spans="4:10" x14ac:dyDescent="0.25">
      <c r="D503">
        <v>3</v>
      </c>
      <c r="E503" t="s">
        <v>12</v>
      </c>
      <c r="F503" t="s">
        <v>1345</v>
      </c>
      <c r="G503">
        <v>108</v>
      </c>
      <c r="H503" t="s">
        <v>1346</v>
      </c>
      <c r="I503">
        <v>170</v>
      </c>
      <c r="J503">
        <v>1896733</v>
      </c>
    </row>
    <row r="504" spans="4:10" x14ac:dyDescent="0.25">
      <c r="D504">
        <v>3</v>
      </c>
      <c r="E504" t="s">
        <v>12</v>
      </c>
      <c r="F504" t="s">
        <v>1347</v>
      </c>
      <c r="G504">
        <v>108</v>
      </c>
      <c r="H504" t="s">
        <v>1348</v>
      </c>
      <c r="I504">
        <v>177</v>
      </c>
      <c r="J504">
        <v>1896740</v>
      </c>
    </row>
    <row r="505" spans="4:10" x14ac:dyDescent="0.25">
      <c r="D505">
        <v>3</v>
      </c>
      <c r="E505" t="s">
        <v>183</v>
      </c>
      <c r="F505" t="s">
        <v>1349</v>
      </c>
      <c r="G505">
        <v>108</v>
      </c>
      <c r="H505" t="s">
        <v>1350</v>
      </c>
      <c r="I505">
        <v>175</v>
      </c>
      <c r="J505">
        <v>1896752</v>
      </c>
    </row>
    <row r="506" spans="4:10" x14ac:dyDescent="0.25">
      <c r="D506">
        <v>3</v>
      </c>
      <c r="E506" t="s">
        <v>16</v>
      </c>
      <c r="F506" t="s">
        <v>1351</v>
      </c>
      <c r="G506">
        <v>54</v>
      </c>
      <c r="H506" t="s">
        <v>1352</v>
      </c>
      <c r="I506">
        <v>283</v>
      </c>
      <c r="J506">
        <v>1897088</v>
      </c>
    </row>
    <row r="507" spans="4:10" x14ac:dyDescent="0.25">
      <c r="D507">
        <v>3</v>
      </c>
      <c r="E507" t="s">
        <v>12</v>
      </c>
      <c r="F507" t="s">
        <v>1354</v>
      </c>
      <c r="G507">
        <v>212</v>
      </c>
      <c r="H507" t="s">
        <v>1355</v>
      </c>
      <c r="I507">
        <v>150</v>
      </c>
      <c r="J507">
        <v>1897644</v>
      </c>
    </row>
    <row r="508" spans="4:10" x14ac:dyDescent="0.25">
      <c r="D508">
        <v>3</v>
      </c>
      <c r="E508" t="s">
        <v>50</v>
      </c>
      <c r="F508" t="s">
        <v>1357</v>
      </c>
      <c r="G508">
        <v>200</v>
      </c>
      <c r="H508" t="s">
        <v>1358</v>
      </c>
      <c r="I508">
        <v>302</v>
      </c>
      <c r="J508">
        <v>1898024</v>
      </c>
    </row>
    <row r="509" spans="4:10" x14ac:dyDescent="0.25">
      <c r="D509">
        <v>3</v>
      </c>
      <c r="E509" t="s">
        <v>64</v>
      </c>
      <c r="F509" t="s">
        <v>1360</v>
      </c>
      <c r="G509">
        <v>200</v>
      </c>
      <c r="H509" t="s">
        <v>1361</v>
      </c>
      <c r="I509">
        <v>92</v>
      </c>
      <c r="J509">
        <v>1898283</v>
      </c>
    </row>
    <row r="510" spans="4:10" x14ac:dyDescent="0.25">
      <c r="D510">
        <v>3</v>
      </c>
      <c r="E510" t="s">
        <v>20</v>
      </c>
      <c r="F510" t="s">
        <v>1363</v>
      </c>
      <c r="G510">
        <v>93</v>
      </c>
      <c r="H510" t="s">
        <v>1364</v>
      </c>
      <c r="I510">
        <v>224</v>
      </c>
      <c r="J510">
        <v>1899493</v>
      </c>
    </row>
    <row r="511" spans="4:10" x14ac:dyDescent="0.25">
      <c r="D511">
        <v>3</v>
      </c>
      <c r="E511" t="s">
        <v>20</v>
      </c>
      <c r="F511" t="s">
        <v>1366</v>
      </c>
      <c r="G511">
        <v>77</v>
      </c>
      <c r="H511" t="s">
        <v>1367</v>
      </c>
      <c r="I511">
        <v>209</v>
      </c>
      <c r="J511">
        <v>1899748</v>
      </c>
    </row>
    <row r="512" spans="4:10" x14ac:dyDescent="0.25">
      <c r="D512">
        <v>3</v>
      </c>
      <c r="E512" t="s">
        <v>16</v>
      </c>
      <c r="F512" t="s">
        <v>1369</v>
      </c>
      <c r="G512">
        <v>77</v>
      </c>
      <c r="H512" t="s">
        <v>1370</v>
      </c>
      <c r="I512">
        <v>139</v>
      </c>
      <c r="J512">
        <v>1900857</v>
      </c>
    </row>
    <row r="513" spans="4:10" x14ac:dyDescent="0.25">
      <c r="D513">
        <v>3</v>
      </c>
      <c r="E513" t="s">
        <v>54</v>
      </c>
      <c r="F513" t="s">
        <v>1372</v>
      </c>
      <c r="G513">
        <v>106</v>
      </c>
      <c r="H513" t="s">
        <v>1373</v>
      </c>
      <c r="I513">
        <v>31</v>
      </c>
      <c r="J513">
        <v>1901251</v>
      </c>
    </row>
    <row r="514" spans="4:10" x14ac:dyDescent="0.25">
      <c r="D514">
        <v>3</v>
      </c>
      <c r="E514" t="s">
        <v>35</v>
      </c>
      <c r="F514" t="s">
        <v>1375</v>
      </c>
      <c r="G514">
        <v>42</v>
      </c>
      <c r="H514" t="s">
        <v>1376</v>
      </c>
      <c r="I514">
        <v>134</v>
      </c>
      <c r="J514">
        <v>1901539</v>
      </c>
    </row>
    <row r="515" spans="4:10" x14ac:dyDescent="0.25">
      <c r="D515">
        <v>3</v>
      </c>
      <c r="E515" t="s">
        <v>39</v>
      </c>
      <c r="F515" t="s">
        <v>1377</v>
      </c>
      <c r="G515">
        <v>113</v>
      </c>
      <c r="H515" t="s">
        <v>1378</v>
      </c>
      <c r="I515">
        <v>1</v>
      </c>
      <c r="J515">
        <v>1902144</v>
      </c>
    </row>
    <row r="516" spans="4:10" x14ac:dyDescent="0.25">
      <c r="D516">
        <v>3</v>
      </c>
      <c r="E516" t="s">
        <v>35</v>
      </c>
      <c r="F516" t="s">
        <v>1379</v>
      </c>
      <c r="G516">
        <v>93</v>
      </c>
      <c r="H516" t="s">
        <v>1380</v>
      </c>
      <c r="I516">
        <v>184</v>
      </c>
      <c r="J516">
        <v>1902450</v>
      </c>
    </row>
    <row r="517" spans="4:10" x14ac:dyDescent="0.25">
      <c r="D517">
        <v>3</v>
      </c>
      <c r="E517" t="s">
        <v>16</v>
      </c>
      <c r="F517" t="s">
        <v>1382</v>
      </c>
      <c r="G517">
        <v>111</v>
      </c>
      <c r="H517" t="s">
        <v>1383</v>
      </c>
      <c r="I517">
        <v>321</v>
      </c>
      <c r="J517">
        <v>1902786</v>
      </c>
    </row>
    <row r="518" spans="4:10" x14ac:dyDescent="0.25">
      <c r="D518">
        <v>3</v>
      </c>
      <c r="E518" t="s">
        <v>54</v>
      </c>
      <c r="F518" t="s">
        <v>1385</v>
      </c>
      <c r="G518">
        <v>33</v>
      </c>
      <c r="H518" t="s">
        <v>1386</v>
      </c>
      <c r="I518">
        <v>308</v>
      </c>
      <c r="J518">
        <v>1902787</v>
      </c>
    </row>
    <row r="519" spans="4:10" x14ac:dyDescent="0.25">
      <c r="D519">
        <v>3</v>
      </c>
      <c r="E519" t="s">
        <v>39</v>
      </c>
      <c r="F519" t="s">
        <v>1388</v>
      </c>
      <c r="G519">
        <v>20</v>
      </c>
      <c r="H519" t="s">
        <v>1389</v>
      </c>
      <c r="I519">
        <v>119</v>
      </c>
      <c r="J519">
        <v>1903120</v>
      </c>
    </row>
    <row r="520" spans="4:10" x14ac:dyDescent="0.25">
      <c r="D520">
        <v>3</v>
      </c>
      <c r="E520" t="s">
        <v>24</v>
      </c>
      <c r="F520" t="s">
        <v>1391</v>
      </c>
      <c r="G520">
        <v>20</v>
      </c>
      <c r="H520" t="s">
        <v>1392</v>
      </c>
      <c r="I520">
        <v>172</v>
      </c>
      <c r="J520">
        <v>1903248</v>
      </c>
    </row>
    <row r="521" spans="4:10" x14ac:dyDescent="0.25">
      <c r="D521">
        <v>3</v>
      </c>
      <c r="E521" t="s">
        <v>35</v>
      </c>
      <c r="F521" t="s">
        <v>1394</v>
      </c>
      <c r="G521">
        <v>20</v>
      </c>
      <c r="H521" t="s">
        <v>1395</v>
      </c>
      <c r="I521">
        <v>286</v>
      </c>
      <c r="J521">
        <v>1903284</v>
      </c>
    </row>
    <row r="522" spans="4:10" x14ac:dyDescent="0.25">
      <c r="D522">
        <v>3</v>
      </c>
      <c r="E522" t="s">
        <v>16</v>
      </c>
      <c r="F522" t="s">
        <v>1397</v>
      </c>
      <c r="G522">
        <v>113</v>
      </c>
      <c r="H522" t="s">
        <v>1398</v>
      </c>
      <c r="I522">
        <v>287</v>
      </c>
      <c r="J522">
        <v>1904039</v>
      </c>
    </row>
    <row r="523" spans="4:10" x14ac:dyDescent="0.25">
      <c r="D523">
        <v>3</v>
      </c>
      <c r="E523" t="s">
        <v>255</v>
      </c>
      <c r="F523" t="s">
        <v>1399</v>
      </c>
      <c r="G523">
        <v>66</v>
      </c>
      <c r="H523" t="s">
        <v>1400</v>
      </c>
      <c r="I523">
        <v>42</v>
      </c>
      <c r="J523">
        <v>1904165</v>
      </c>
    </row>
    <row r="524" spans="4:10" x14ac:dyDescent="0.25">
      <c r="D524">
        <v>3</v>
      </c>
      <c r="E524" t="s">
        <v>24</v>
      </c>
      <c r="F524" t="s">
        <v>1402</v>
      </c>
      <c r="G524">
        <v>77</v>
      </c>
      <c r="H524" t="s">
        <v>1403</v>
      </c>
      <c r="I524">
        <v>295</v>
      </c>
      <c r="J524">
        <v>1904244</v>
      </c>
    </row>
    <row r="525" spans="4:10" x14ac:dyDescent="0.25">
      <c r="D525">
        <v>3</v>
      </c>
      <c r="E525" t="s">
        <v>39</v>
      </c>
      <c r="F525" t="s">
        <v>1405</v>
      </c>
      <c r="G525">
        <v>77</v>
      </c>
      <c r="H525" t="s">
        <v>1406</v>
      </c>
      <c r="I525">
        <v>11</v>
      </c>
      <c r="J525">
        <v>1904740</v>
      </c>
    </row>
    <row r="526" spans="4:10" x14ac:dyDescent="0.25">
      <c r="D526">
        <v>3</v>
      </c>
      <c r="E526" t="s">
        <v>20</v>
      </c>
      <c r="F526" t="s">
        <v>1408</v>
      </c>
      <c r="G526">
        <v>77</v>
      </c>
      <c r="H526" t="s">
        <v>1409</v>
      </c>
      <c r="I526">
        <v>8</v>
      </c>
      <c r="J526">
        <v>1904741</v>
      </c>
    </row>
    <row r="527" spans="4:10" x14ac:dyDescent="0.25">
      <c r="D527">
        <v>3</v>
      </c>
      <c r="E527" t="s">
        <v>24</v>
      </c>
      <c r="F527" t="s">
        <v>1411</v>
      </c>
      <c r="G527">
        <v>82</v>
      </c>
      <c r="H527" t="s">
        <v>1412</v>
      </c>
      <c r="I527">
        <v>245</v>
      </c>
      <c r="J527">
        <v>1907171</v>
      </c>
    </row>
    <row r="528" spans="4:10" x14ac:dyDescent="0.25">
      <c r="D528">
        <v>3</v>
      </c>
      <c r="E528" t="s">
        <v>39</v>
      </c>
      <c r="F528" t="s">
        <v>1414</v>
      </c>
      <c r="G528">
        <v>60</v>
      </c>
      <c r="H528" t="s">
        <v>1415</v>
      </c>
      <c r="I528">
        <v>81</v>
      </c>
      <c r="J528">
        <v>1908817</v>
      </c>
    </row>
    <row r="529" spans="4:10" x14ac:dyDescent="0.25">
      <c r="D529">
        <v>3</v>
      </c>
      <c r="E529" t="s">
        <v>39</v>
      </c>
      <c r="F529" t="s">
        <v>1417</v>
      </c>
      <c r="G529">
        <v>201</v>
      </c>
      <c r="H529" t="s">
        <v>1418</v>
      </c>
      <c r="I529">
        <v>86</v>
      </c>
      <c r="J529">
        <v>1909011</v>
      </c>
    </row>
    <row r="530" spans="4:10" x14ac:dyDescent="0.25">
      <c r="D530">
        <v>3</v>
      </c>
      <c r="E530" t="s">
        <v>155</v>
      </c>
      <c r="F530" t="s">
        <v>1420</v>
      </c>
      <c r="G530">
        <v>72</v>
      </c>
      <c r="H530" t="s">
        <v>1421</v>
      </c>
      <c r="I530">
        <v>257</v>
      </c>
      <c r="J530">
        <v>1909292</v>
      </c>
    </row>
    <row r="531" spans="4:10" x14ac:dyDescent="0.25">
      <c r="D531">
        <v>3</v>
      </c>
      <c r="E531" t="s">
        <v>54</v>
      </c>
      <c r="F531" t="s">
        <v>1423</v>
      </c>
      <c r="G531">
        <v>42</v>
      </c>
      <c r="H531" t="s">
        <v>1424</v>
      </c>
      <c r="I531">
        <v>281</v>
      </c>
      <c r="J531">
        <v>1910367</v>
      </c>
    </row>
    <row r="532" spans="4:10" x14ac:dyDescent="0.25">
      <c r="D532">
        <v>3</v>
      </c>
      <c r="E532" t="s">
        <v>50</v>
      </c>
      <c r="F532" t="s">
        <v>1425</v>
      </c>
      <c r="G532">
        <v>110</v>
      </c>
      <c r="H532" t="s">
        <v>1426</v>
      </c>
      <c r="I532">
        <v>30</v>
      </c>
      <c r="J532">
        <v>1910445</v>
      </c>
    </row>
    <row r="533" spans="4:10" x14ac:dyDescent="0.25">
      <c r="D533">
        <v>3</v>
      </c>
      <c r="E533" t="s">
        <v>64</v>
      </c>
      <c r="F533" t="s">
        <v>1428</v>
      </c>
      <c r="G533">
        <v>110</v>
      </c>
      <c r="H533" t="s">
        <v>1429</v>
      </c>
      <c r="I533">
        <v>53</v>
      </c>
      <c r="J533">
        <v>1910453</v>
      </c>
    </row>
    <row r="534" spans="4:10" x14ac:dyDescent="0.25">
      <c r="D534">
        <v>3</v>
      </c>
      <c r="E534" t="s">
        <v>16</v>
      </c>
      <c r="F534" t="s">
        <v>1431</v>
      </c>
      <c r="G534">
        <v>110</v>
      </c>
      <c r="H534" t="s">
        <v>1432</v>
      </c>
      <c r="I534">
        <v>29</v>
      </c>
      <c r="J534">
        <v>1910555</v>
      </c>
    </row>
    <row r="535" spans="4:10" x14ac:dyDescent="0.25">
      <c r="D535">
        <v>3</v>
      </c>
      <c r="E535" t="s">
        <v>64</v>
      </c>
      <c r="F535" t="s">
        <v>1434</v>
      </c>
      <c r="G535">
        <v>77</v>
      </c>
      <c r="H535" t="s">
        <v>1435</v>
      </c>
      <c r="I535">
        <v>84</v>
      </c>
      <c r="J535">
        <v>1912009</v>
      </c>
    </row>
    <row r="536" spans="4:10" x14ac:dyDescent="0.25">
      <c r="D536">
        <v>3</v>
      </c>
      <c r="E536" t="s">
        <v>35</v>
      </c>
      <c r="F536" t="s">
        <v>1437</v>
      </c>
      <c r="G536">
        <v>77</v>
      </c>
      <c r="H536" t="s">
        <v>1438</v>
      </c>
      <c r="I536">
        <v>123</v>
      </c>
      <c r="J536">
        <v>1912515</v>
      </c>
    </row>
    <row r="537" spans="4:10" x14ac:dyDescent="0.25">
      <c r="D537">
        <v>3</v>
      </c>
      <c r="E537" t="s">
        <v>54</v>
      </c>
      <c r="F537" t="s">
        <v>1440</v>
      </c>
      <c r="G537">
        <v>77</v>
      </c>
      <c r="H537" t="s">
        <v>1441</v>
      </c>
      <c r="I537">
        <v>130</v>
      </c>
      <c r="J537">
        <v>1912522</v>
      </c>
    </row>
    <row r="538" spans="4:10" x14ac:dyDescent="0.25">
      <c r="D538">
        <v>3</v>
      </c>
      <c r="E538" t="s">
        <v>31</v>
      </c>
      <c r="F538" t="s">
        <v>1440</v>
      </c>
      <c r="G538">
        <v>77</v>
      </c>
      <c r="H538" t="s">
        <v>1441</v>
      </c>
      <c r="I538">
        <v>129</v>
      </c>
      <c r="J538">
        <v>1912522</v>
      </c>
    </row>
    <row r="539" spans="4:10" x14ac:dyDescent="0.25">
      <c r="D539">
        <v>3</v>
      </c>
      <c r="E539" t="s">
        <v>16</v>
      </c>
      <c r="F539" t="s">
        <v>1443</v>
      </c>
      <c r="G539">
        <v>42</v>
      </c>
      <c r="H539" t="s">
        <v>1444</v>
      </c>
      <c r="I539">
        <v>163</v>
      </c>
      <c r="J539">
        <v>1913218</v>
      </c>
    </row>
    <row r="540" spans="4:10" x14ac:dyDescent="0.25">
      <c r="D540">
        <v>3</v>
      </c>
      <c r="E540" t="s">
        <v>43</v>
      </c>
      <c r="F540" t="s">
        <v>1445</v>
      </c>
      <c r="G540">
        <v>82</v>
      </c>
      <c r="H540" t="s">
        <v>1446</v>
      </c>
      <c r="I540">
        <v>100</v>
      </c>
      <c r="J540">
        <v>1913780</v>
      </c>
    </row>
    <row r="541" spans="4:10" x14ac:dyDescent="0.25">
      <c r="D541">
        <v>3</v>
      </c>
      <c r="E541" t="s">
        <v>43</v>
      </c>
      <c r="F541" t="s">
        <v>1448</v>
      </c>
      <c r="G541">
        <v>42</v>
      </c>
      <c r="H541" t="s">
        <v>1449</v>
      </c>
      <c r="I541">
        <v>218</v>
      </c>
      <c r="J541">
        <v>1913919</v>
      </c>
    </row>
    <row r="542" spans="4:10" x14ac:dyDescent="0.25">
      <c r="D542">
        <v>3</v>
      </c>
      <c r="E542" t="s">
        <v>155</v>
      </c>
      <c r="F542" t="s">
        <v>1450</v>
      </c>
      <c r="G542">
        <v>42</v>
      </c>
      <c r="H542" t="s">
        <v>1451</v>
      </c>
      <c r="I542">
        <v>222</v>
      </c>
      <c r="J542">
        <v>1913972</v>
      </c>
    </row>
    <row r="543" spans="4:10" x14ac:dyDescent="0.25">
      <c r="D543">
        <v>3</v>
      </c>
      <c r="E543" t="s">
        <v>35</v>
      </c>
      <c r="F543" t="s">
        <v>1452</v>
      </c>
      <c r="G543">
        <v>57</v>
      </c>
      <c r="H543" t="s">
        <v>1453</v>
      </c>
      <c r="I543">
        <v>282</v>
      </c>
      <c r="J543">
        <v>1914832</v>
      </c>
    </row>
    <row r="544" spans="4:10" x14ac:dyDescent="0.25">
      <c r="D544">
        <v>3</v>
      </c>
      <c r="E544" t="s">
        <v>155</v>
      </c>
      <c r="F544" t="s">
        <v>1455</v>
      </c>
      <c r="G544">
        <v>42</v>
      </c>
      <c r="H544" t="s">
        <v>1456</v>
      </c>
      <c r="I544">
        <v>293</v>
      </c>
      <c r="J544">
        <v>1918789</v>
      </c>
    </row>
    <row r="545" spans="4:10" x14ac:dyDescent="0.25">
      <c r="D545">
        <v>3</v>
      </c>
      <c r="E545" t="s">
        <v>24</v>
      </c>
      <c r="F545" t="s">
        <v>1457</v>
      </c>
      <c r="G545">
        <v>42</v>
      </c>
      <c r="H545" t="s">
        <v>1458</v>
      </c>
      <c r="I545">
        <v>7</v>
      </c>
      <c r="J545">
        <v>1918860</v>
      </c>
    </row>
    <row r="546" spans="4:10" x14ac:dyDescent="0.25">
      <c r="D546">
        <v>3</v>
      </c>
      <c r="E546" t="s">
        <v>43</v>
      </c>
      <c r="F546" t="s">
        <v>843</v>
      </c>
      <c r="G546">
        <v>42</v>
      </c>
      <c r="H546" t="s">
        <v>844</v>
      </c>
      <c r="I546">
        <v>13</v>
      </c>
      <c r="J546">
        <v>1918864</v>
      </c>
    </row>
    <row r="547" spans="4:10" x14ac:dyDescent="0.25">
      <c r="D547">
        <v>3</v>
      </c>
      <c r="E547" t="s">
        <v>35</v>
      </c>
      <c r="F547" t="s">
        <v>1459</v>
      </c>
      <c r="G547">
        <v>42</v>
      </c>
      <c r="H547" t="s">
        <v>1460</v>
      </c>
      <c r="I547">
        <v>60</v>
      </c>
      <c r="J547">
        <v>1919065</v>
      </c>
    </row>
    <row r="548" spans="4:10" x14ac:dyDescent="0.25">
      <c r="D548">
        <v>3</v>
      </c>
      <c r="E548" t="s">
        <v>64</v>
      </c>
      <c r="F548" t="s">
        <v>1461</v>
      </c>
      <c r="G548">
        <v>42</v>
      </c>
      <c r="H548" t="s">
        <v>1462</v>
      </c>
      <c r="I548">
        <v>62</v>
      </c>
      <c r="J548">
        <v>1919077</v>
      </c>
    </row>
    <row r="549" spans="4:10" x14ac:dyDescent="0.25">
      <c r="D549">
        <v>3</v>
      </c>
      <c r="E549" t="s">
        <v>43</v>
      </c>
      <c r="F549" t="s">
        <v>328</v>
      </c>
      <c r="G549">
        <v>108</v>
      </c>
      <c r="H549" t="s">
        <v>329</v>
      </c>
      <c r="I549">
        <v>12</v>
      </c>
      <c r="J549">
        <v>1919480</v>
      </c>
    </row>
    <row r="550" spans="4:10" x14ac:dyDescent="0.25">
      <c r="D550">
        <v>3</v>
      </c>
      <c r="E550" t="s">
        <v>64</v>
      </c>
      <c r="F550" t="s">
        <v>1463</v>
      </c>
      <c r="G550">
        <v>42</v>
      </c>
      <c r="H550" t="s">
        <v>1464</v>
      </c>
      <c r="I550">
        <v>317</v>
      </c>
      <c r="J550">
        <v>1919983</v>
      </c>
    </row>
    <row r="551" spans="4:10" x14ac:dyDescent="0.25">
      <c r="D551">
        <v>3</v>
      </c>
      <c r="E551" t="s">
        <v>50</v>
      </c>
      <c r="F551" t="s">
        <v>1465</v>
      </c>
      <c r="G551">
        <v>42</v>
      </c>
      <c r="H551" t="s">
        <v>1466</v>
      </c>
      <c r="I551">
        <v>318</v>
      </c>
      <c r="J551">
        <v>1920000</v>
      </c>
    </row>
    <row r="552" spans="4:10" x14ac:dyDescent="0.25">
      <c r="D552">
        <v>3</v>
      </c>
      <c r="E552" t="s">
        <v>54</v>
      </c>
      <c r="F552" t="s">
        <v>1467</v>
      </c>
      <c r="G552">
        <v>42</v>
      </c>
      <c r="H552" t="s">
        <v>1468</v>
      </c>
      <c r="I552">
        <v>319</v>
      </c>
      <c r="J552">
        <v>1920006</v>
      </c>
    </row>
    <row r="553" spans="4:10" x14ac:dyDescent="0.25">
      <c r="D553">
        <v>3</v>
      </c>
      <c r="E553" t="s">
        <v>35</v>
      </c>
      <c r="F553" t="s">
        <v>1469</v>
      </c>
      <c r="G553">
        <v>42</v>
      </c>
      <c r="H553" t="s">
        <v>1470</v>
      </c>
      <c r="I553">
        <v>320</v>
      </c>
      <c r="J553">
        <v>1920010</v>
      </c>
    </row>
    <row r="554" spans="4:10" x14ac:dyDescent="0.25">
      <c r="D554">
        <v>3</v>
      </c>
      <c r="E554" t="s">
        <v>43</v>
      </c>
      <c r="F554" t="s">
        <v>1471</v>
      </c>
      <c r="G554">
        <v>53</v>
      </c>
      <c r="H554" t="s">
        <v>1472</v>
      </c>
      <c r="I554">
        <v>61</v>
      </c>
      <c r="J554">
        <v>1922205</v>
      </c>
    </row>
    <row r="555" spans="4:10" x14ac:dyDescent="0.25">
      <c r="D555">
        <v>3</v>
      </c>
      <c r="E555" t="s">
        <v>35</v>
      </c>
      <c r="F555" t="s">
        <v>1474</v>
      </c>
      <c r="G555">
        <v>104</v>
      </c>
      <c r="H555" t="s">
        <v>1475</v>
      </c>
      <c r="I555">
        <v>187</v>
      </c>
      <c r="J555">
        <v>1923694</v>
      </c>
    </row>
    <row r="556" spans="4:10" x14ac:dyDescent="0.25">
      <c r="D556">
        <v>3</v>
      </c>
      <c r="E556" t="s">
        <v>183</v>
      </c>
      <c r="F556" t="s">
        <v>1476</v>
      </c>
      <c r="G556">
        <v>104</v>
      </c>
      <c r="H556" t="s">
        <v>1477</v>
      </c>
      <c r="I556">
        <v>153</v>
      </c>
      <c r="J556">
        <v>1924595</v>
      </c>
    </row>
    <row r="557" spans="4:10" x14ac:dyDescent="0.25">
      <c r="D557">
        <v>3</v>
      </c>
      <c r="E557" t="s">
        <v>12</v>
      </c>
      <c r="F557" t="s">
        <v>1479</v>
      </c>
      <c r="G557">
        <v>91</v>
      </c>
      <c r="H557" t="s">
        <v>1480</v>
      </c>
      <c r="I557">
        <v>242</v>
      </c>
      <c r="J557">
        <v>1925125</v>
      </c>
    </row>
    <row r="558" spans="4:10" x14ac:dyDescent="0.25">
      <c r="D558">
        <v>3</v>
      </c>
      <c r="E558" t="s">
        <v>24</v>
      </c>
      <c r="F558" t="s">
        <v>1479</v>
      </c>
      <c r="G558">
        <v>91</v>
      </c>
      <c r="H558" t="s">
        <v>1480</v>
      </c>
      <c r="I558">
        <v>241</v>
      </c>
      <c r="J558">
        <v>1925125</v>
      </c>
    </row>
    <row r="559" spans="4:10" x14ac:dyDescent="0.25">
      <c r="D559">
        <v>3</v>
      </c>
      <c r="E559" t="s">
        <v>8</v>
      </c>
      <c r="F559" t="s">
        <v>877</v>
      </c>
      <c r="G559">
        <v>104</v>
      </c>
      <c r="H559" t="s">
        <v>878</v>
      </c>
      <c r="I559">
        <v>261</v>
      </c>
      <c r="J559">
        <v>1925630</v>
      </c>
    </row>
    <row r="560" spans="4:10" x14ac:dyDescent="0.25">
      <c r="D560">
        <v>3</v>
      </c>
      <c r="E560" t="s">
        <v>54</v>
      </c>
      <c r="F560" t="s">
        <v>1481</v>
      </c>
      <c r="G560">
        <v>104</v>
      </c>
      <c r="H560" t="s">
        <v>1482</v>
      </c>
      <c r="I560">
        <v>183</v>
      </c>
      <c r="J560">
        <v>1925804</v>
      </c>
    </row>
    <row r="561" spans="4:10" x14ac:dyDescent="0.25">
      <c r="D561">
        <v>3</v>
      </c>
      <c r="E561" t="s">
        <v>43</v>
      </c>
      <c r="F561" t="s">
        <v>1484</v>
      </c>
      <c r="G561">
        <v>110</v>
      </c>
      <c r="H561" t="s">
        <v>1485</v>
      </c>
      <c r="I561">
        <v>48</v>
      </c>
      <c r="J561">
        <v>1928047</v>
      </c>
    </row>
    <row r="562" spans="4:10" x14ac:dyDescent="0.25">
      <c r="D562">
        <v>3</v>
      </c>
      <c r="E562" t="s">
        <v>155</v>
      </c>
      <c r="F562" t="s">
        <v>1487</v>
      </c>
      <c r="G562">
        <v>113</v>
      </c>
      <c r="H562" t="s">
        <v>1488</v>
      </c>
      <c r="I562">
        <v>174</v>
      </c>
      <c r="J562">
        <v>1928070</v>
      </c>
    </row>
    <row r="563" spans="4:10" x14ac:dyDescent="0.25">
      <c r="D563">
        <v>3</v>
      </c>
      <c r="E563" t="s">
        <v>8</v>
      </c>
      <c r="F563" t="s">
        <v>1489</v>
      </c>
      <c r="G563">
        <v>113</v>
      </c>
      <c r="H563" t="s">
        <v>1490</v>
      </c>
      <c r="I563">
        <v>178</v>
      </c>
      <c r="J563">
        <v>1928079</v>
      </c>
    </row>
    <row r="564" spans="4:10" x14ac:dyDescent="0.25">
      <c r="D564">
        <v>3</v>
      </c>
      <c r="E564" t="s">
        <v>35</v>
      </c>
      <c r="F564" t="s">
        <v>1491</v>
      </c>
      <c r="G564">
        <v>104</v>
      </c>
      <c r="H564" t="s">
        <v>1492</v>
      </c>
      <c r="I564">
        <v>282</v>
      </c>
      <c r="J564">
        <v>1929685</v>
      </c>
    </row>
    <row r="565" spans="4:10" x14ac:dyDescent="0.25">
      <c r="D565">
        <v>3</v>
      </c>
      <c r="E565" t="s">
        <v>20</v>
      </c>
      <c r="F565" t="s">
        <v>1494</v>
      </c>
      <c r="G565">
        <v>108</v>
      </c>
      <c r="H565" t="s">
        <v>1495</v>
      </c>
      <c r="I565">
        <v>276</v>
      </c>
      <c r="J565">
        <v>1931100</v>
      </c>
    </row>
    <row r="566" spans="4:10" x14ac:dyDescent="0.25">
      <c r="D566">
        <v>3</v>
      </c>
      <c r="E566" t="s">
        <v>64</v>
      </c>
      <c r="F566" t="s">
        <v>1497</v>
      </c>
      <c r="G566">
        <v>109</v>
      </c>
      <c r="H566" t="s">
        <v>1498</v>
      </c>
      <c r="I566">
        <v>88</v>
      </c>
      <c r="J566">
        <v>1931331</v>
      </c>
    </row>
    <row r="567" spans="4:10" x14ac:dyDescent="0.25">
      <c r="D567">
        <v>3</v>
      </c>
      <c r="E567" t="s">
        <v>35</v>
      </c>
      <c r="F567" t="s">
        <v>1500</v>
      </c>
      <c r="G567">
        <v>95</v>
      </c>
      <c r="H567" t="s">
        <v>1501</v>
      </c>
      <c r="I567">
        <v>324</v>
      </c>
      <c r="J567">
        <v>1931496</v>
      </c>
    </row>
    <row r="568" spans="4:10" x14ac:dyDescent="0.25">
      <c r="D568">
        <v>3</v>
      </c>
      <c r="E568" t="s">
        <v>155</v>
      </c>
      <c r="F568" t="s">
        <v>1503</v>
      </c>
      <c r="G568">
        <v>164</v>
      </c>
      <c r="H568" t="s">
        <v>1504</v>
      </c>
      <c r="I568">
        <v>289</v>
      </c>
      <c r="J568">
        <v>1931815</v>
      </c>
    </row>
    <row r="569" spans="4:10" x14ac:dyDescent="0.25">
      <c r="D569">
        <v>3</v>
      </c>
      <c r="E569" t="s">
        <v>31</v>
      </c>
      <c r="F569" t="s">
        <v>1506</v>
      </c>
      <c r="G569">
        <v>110</v>
      </c>
      <c r="H569" t="s">
        <v>1507</v>
      </c>
      <c r="I569">
        <v>52</v>
      </c>
      <c r="J569">
        <v>1932851</v>
      </c>
    </row>
    <row r="570" spans="4:10" x14ac:dyDescent="0.25">
      <c r="D570">
        <v>3</v>
      </c>
      <c r="E570" t="s">
        <v>39</v>
      </c>
      <c r="F570" t="s">
        <v>1509</v>
      </c>
      <c r="G570">
        <v>66</v>
      </c>
      <c r="H570" t="s">
        <v>1510</v>
      </c>
      <c r="I570">
        <v>86</v>
      </c>
      <c r="J570">
        <v>1934790</v>
      </c>
    </row>
    <row r="571" spans="4:10" x14ac:dyDescent="0.25">
      <c r="D571">
        <v>3</v>
      </c>
      <c r="E571" t="s">
        <v>107</v>
      </c>
      <c r="F571" t="s">
        <v>1512</v>
      </c>
      <c r="G571">
        <v>109</v>
      </c>
      <c r="H571" t="s">
        <v>1513</v>
      </c>
      <c r="I571">
        <v>176</v>
      </c>
      <c r="J571">
        <v>1935410</v>
      </c>
    </row>
    <row r="572" spans="4:10" x14ac:dyDescent="0.25">
      <c r="D572">
        <v>3</v>
      </c>
      <c r="E572" t="s">
        <v>50</v>
      </c>
      <c r="F572" t="s">
        <v>1515</v>
      </c>
      <c r="G572">
        <v>223</v>
      </c>
      <c r="H572" t="s">
        <v>1516</v>
      </c>
      <c r="I572">
        <v>24</v>
      </c>
      <c r="J572">
        <v>1937531</v>
      </c>
    </row>
    <row r="573" spans="4:10" x14ac:dyDescent="0.25">
      <c r="D573">
        <v>3</v>
      </c>
      <c r="E573" t="s">
        <v>64</v>
      </c>
      <c r="F573" t="s">
        <v>1518</v>
      </c>
      <c r="G573">
        <v>108</v>
      </c>
      <c r="H573" t="s">
        <v>1519</v>
      </c>
      <c r="I573">
        <v>322</v>
      </c>
      <c r="J573">
        <v>1939709</v>
      </c>
    </row>
    <row r="574" spans="4:10" x14ac:dyDescent="0.25">
      <c r="D574">
        <v>3</v>
      </c>
      <c r="E574" t="s">
        <v>50</v>
      </c>
      <c r="F574" t="s">
        <v>1520</v>
      </c>
      <c r="G574">
        <v>108</v>
      </c>
      <c r="H574" t="s">
        <v>1521</v>
      </c>
      <c r="I574">
        <v>318</v>
      </c>
      <c r="J574">
        <v>1939712</v>
      </c>
    </row>
    <row r="575" spans="4:10" x14ac:dyDescent="0.25">
      <c r="D575">
        <v>3</v>
      </c>
      <c r="E575" t="s">
        <v>39</v>
      </c>
      <c r="F575" t="s">
        <v>1522</v>
      </c>
      <c r="G575">
        <v>13</v>
      </c>
      <c r="H575" t="s">
        <v>1523</v>
      </c>
      <c r="I575">
        <v>56</v>
      </c>
      <c r="J575">
        <v>1939763</v>
      </c>
    </row>
    <row r="576" spans="4:10" x14ac:dyDescent="0.25">
      <c r="D576">
        <v>3</v>
      </c>
      <c r="E576" t="s">
        <v>255</v>
      </c>
      <c r="F576" t="s">
        <v>1525</v>
      </c>
      <c r="G576">
        <v>13</v>
      </c>
      <c r="H576" t="s">
        <v>1526</v>
      </c>
      <c r="I576">
        <v>65</v>
      </c>
      <c r="J576">
        <v>1939791</v>
      </c>
    </row>
    <row r="577" spans="4:10" x14ac:dyDescent="0.25">
      <c r="D577">
        <v>3</v>
      </c>
      <c r="E577" t="s">
        <v>50</v>
      </c>
      <c r="F577" t="s">
        <v>1528</v>
      </c>
      <c r="G577">
        <v>13</v>
      </c>
      <c r="H577" t="s">
        <v>1529</v>
      </c>
      <c r="I577">
        <v>38</v>
      </c>
      <c r="J577">
        <v>1939824</v>
      </c>
    </row>
    <row r="578" spans="4:10" x14ac:dyDescent="0.25">
      <c r="D578">
        <v>3</v>
      </c>
      <c r="E578" t="s">
        <v>24</v>
      </c>
      <c r="F578" t="s">
        <v>1531</v>
      </c>
      <c r="G578">
        <v>13</v>
      </c>
      <c r="H578" t="s">
        <v>1532</v>
      </c>
      <c r="I578">
        <v>112</v>
      </c>
      <c r="J578">
        <v>1940118</v>
      </c>
    </row>
    <row r="579" spans="4:10" x14ac:dyDescent="0.25">
      <c r="D579">
        <v>3</v>
      </c>
      <c r="E579" t="s">
        <v>54</v>
      </c>
      <c r="F579" t="s">
        <v>1534</v>
      </c>
      <c r="G579">
        <v>13</v>
      </c>
      <c r="H579" t="s">
        <v>1535</v>
      </c>
      <c r="I579">
        <v>93</v>
      </c>
      <c r="J579">
        <v>1940134</v>
      </c>
    </row>
    <row r="580" spans="4:10" x14ac:dyDescent="0.25">
      <c r="D580">
        <v>3</v>
      </c>
      <c r="E580" t="s">
        <v>54</v>
      </c>
      <c r="F580" t="s">
        <v>1537</v>
      </c>
      <c r="G580">
        <v>13</v>
      </c>
      <c r="H580" t="s">
        <v>1538</v>
      </c>
      <c r="I580">
        <v>82</v>
      </c>
      <c r="J580">
        <v>1940136</v>
      </c>
    </row>
    <row r="581" spans="4:10" x14ac:dyDescent="0.25">
      <c r="D581">
        <v>3</v>
      </c>
      <c r="E581" t="s">
        <v>31</v>
      </c>
      <c r="F581" t="s">
        <v>1540</v>
      </c>
      <c r="G581">
        <v>13</v>
      </c>
      <c r="H581" t="s">
        <v>1541</v>
      </c>
      <c r="I581">
        <v>124</v>
      </c>
      <c r="J581">
        <v>1940262</v>
      </c>
    </row>
    <row r="582" spans="4:10" x14ac:dyDescent="0.25">
      <c r="D582">
        <v>3</v>
      </c>
      <c r="E582" t="s">
        <v>35</v>
      </c>
      <c r="F582" t="s">
        <v>1543</v>
      </c>
      <c r="G582">
        <v>61</v>
      </c>
      <c r="H582" t="s">
        <v>1544</v>
      </c>
      <c r="I582">
        <v>304</v>
      </c>
      <c r="J582">
        <v>1940300</v>
      </c>
    </row>
    <row r="583" spans="4:10" x14ac:dyDescent="0.25">
      <c r="D583">
        <v>3</v>
      </c>
      <c r="E583" t="s">
        <v>16</v>
      </c>
      <c r="F583" t="s">
        <v>1546</v>
      </c>
      <c r="G583">
        <v>61</v>
      </c>
      <c r="H583" t="s">
        <v>1547</v>
      </c>
      <c r="I583">
        <v>305</v>
      </c>
      <c r="J583">
        <v>1940308</v>
      </c>
    </row>
    <row r="584" spans="4:10" x14ac:dyDescent="0.25">
      <c r="D584">
        <v>3</v>
      </c>
      <c r="E584" t="s">
        <v>20</v>
      </c>
      <c r="F584" t="s">
        <v>1549</v>
      </c>
      <c r="G584">
        <v>125</v>
      </c>
      <c r="H584" t="s">
        <v>1550</v>
      </c>
      <c r="I584">
        <v>195</v>
      </c>
      <c r="J584">
        <v>1941956</v>
      </c>
    </row>
    <row r="585" spans="4:10" x14ac:dyDescent="0.25">
      <c r="D585">
        <v>3</v>
      </c>
      <c r="E585" t="s">
        <v>39</v>
      </c>
      <c r="F585" t="s">
        <v>1552</v>
      </c>
      <c r="G585">
        <v>60</v>
      </c>
      <c r="H585" t="s">
        <v>1553</v>
      </c>
      <c r="I585">
        <v>85</v>
      </c>
      <c r="J585">
        <v>1943368</v>
      </c>
    </row>
    <row r="586" spans="4:10" x14ac:dyDescent="0.25">
      <c r="D586">
        <v>3</v>
      </c>
      <c r="E586" t="s">
        <v>255</v>
      </c>
      <c r="F586" t="s">
        <v>1555</v>
      </c>
      <c r="G586">
        <v>165</v>
      </c>
      <c r="H586" t="s">
        <v>1556</v>
      </c>
      <c r="I586">
        <v>173</v>
      </c>
      <c r="J586">
        <v>1943504</v>
      </c>
    </row>
    <row r="587" spans="4:10" x14ac:dyDescent="0.25">
      <c r="D587">
        <v>3</v>
      </c>
      <c r="E587" t="s">
        <v>12</v>
      </c>
      <c r="F587" t="s">
        <v>1558</v>
      </c>
      <c r="G587">
        <v>172</v>
      </c>
      <c r="H587" t="s">
        <v>1559</v>
      </c>
      <c r="I587">
        <v>116</v>
      </c>
      <c r="J587">
        <v>1943604</v>
      </c>
    </row>
    <row r="588" spans="4:10" x14ac:dyDescent="0.25">
      <c r="D588">
        <v>3</v>
      </c>
      <c r="E588" t="s">
        <v>50</v>
      </c>
      <c r="F588" t="s">
        <v>1561</v>
      </c>
      <c r="G588">
        <v>159</v>
      </c>
      <c r="H588" t="s">
        <v>1562</v>
      </c>
      <c r="I588">
        <v>207</v>
      </c>
      <c r="J588">
        <v>1944316</v>
      </c>
    </row>
    <row r="589" spans="4:10" x14ac:dyDescent="0.25">
      <c r="D589">
        <v>3</v>
      </c>
      <c r="E589" t="s">
        <v>31</v>
      </c>
      <c r="F589" t="s">
        <v>1564</v>
      </c>
      <c r="G589">
        <v>153</v>
      </c>
      <c r="H589" t="s">
        <v>1565</v>
      </c>
      <c r="I589">
        <v>132</v>
      </c>
      <c r="J589">
        <v>1945080</v>
      </c>
    </row>
    <row r="590" spans="4:10" x14ac:dyDescent="0.25">
      <c r="D590">
        <v>3</v>
      </c>
      <c r="E590" t="s">
        <v>107</v>
      </c>
      <c r="F590" t="s">
        <v>1567</v>
      </c>
      <c r="G590">
        <v>42</v>
      </c>
      <c r="H590" t="s">
        <v>1568</v>
      </c>
      <c r="I590">
        <v>250</v>
      </c>
      <c r="J590">
        <v>1945125</v>
      </c>
    </row>
    <row r="591" spans="4:10" x14ac:dyDescent="0.25">
      <c r="D591">
        <v>3</v>
      </c>
      <c r="E591" t="s">
        <v>255</v>
      </c>
      <c r="F591" t="s">
        <v>1567</v>
      </c>
      <c r="G591">
        <v>42</v>
      </c>
      <c r="H591" t="s">
        <v>1568</v>
      </c>
      <c r="I591">
        <v>251</v>
      </c>
      <c r="J591">
        <v>1945125</v>
      </c>
    </row>
    <row r="592" spans="4:10" x14ac:dyDescent="0.25">
      <c r="D592">
        <v>3</v>
      </c>
      <c r="E592" t="s">
        <v>39</v>
      </c>
      <c r="F592" t="s">
        <v>1567</v>
      </c>
      <c r="G592">
        <v>42</v>
      </c>
      <c r="H592" t="s">
        <v>1568</v>
      </c>
      <c r="I592">
        <v>240</v>
      </c>
      <c r="J592">
        <v>1945125</v>
      </c>
    </row>
    <row r="593" spans="4:10" x14ac:dyDescent="0.25">
      <c r="D593">
        <v>3</v>
      </c>
      <c r="E593" t="s">
        <v>155</v>
      </c>
      <c r="F593" t="s">
        <v>1569</v>
      </c>
      <c r="G593">
        <v>42</v>
      </c>
      <c r="H593" t="s">
        <v>1570</v>
      </c>
      <c r="I593">
        <v>269</v>
      </c>
      <c r="J593">
        <v>1945186</v>
      </c>
    </row>
    <row r="594" spans="4:10" x14ac:dyDescent="0.25">
      <c r="D594">
        <v>3</v>
      </c>
      <c r="E594" t="s">
        <v>183</v>
      </c>
      <c r="F594" t="s">
        <v>1571</v>
      </c>
      <c r="G594">
        <v>93</v>
      </c>
      <c r="H594" t="s">
        <v>1572</v>
      </c>
      <c r="I594">
        <v>148</v>
      </c>
      <c r="J594">
        <v>1946375</v>
      </c>
    </row>
    <row r="595" spans="4:10" x14ac:dyDescent="0.25">
      <c r="D595">
        <v>3</v>
      </c>
      <c r="E595" t="s">
        <v>16</v>
      </c>
      <c r="F595" t="s">
        <v>1574</v>
      </c>
      <c r="G595">
        <v>15</v>
      </c>
      <c r="H595" t="s">
        <v>1575</v>
      </c>
      <c r="I595">
        <v>329</v>
      </c>
      <c r="J595">
        <v>1947172</v>
      </c>
    </row>
    <row r="596" spans="4:10" x14ac:dyDescent="0.25">
      <c r="D596">
        <v>3</v>
      </c>
      <c r="E596" t="s">
        <v>50</v>
      </c>
      <c r="F596" t="s">
        <v>1577</v>
      </c>
      <c r="G596">
        <v>207</v>
      </c>
      <c r="H596" t="s">
        <v>1578</v>
      </c>
      <c r="I596">
        <v>280</v>
      </c>
      <c r="J596">
        <v>1947736</v>
      </c>
    </row>
    <row r="597" spans="4:10" x14ac:dyDescent="0.25">
      <c r="D597">
        <v>3</v>
      </c>
      <c r="E597" t="s">
        <v>20</v>
      </c>
      <c r="F597" t="s">
        <v>1580</v>
      </c>
      <c r="G597">
        <v>30</v>
      </c>
      <c r="H597" t="s">
        <v>1581</v>
      </c>
      <c r="I597">
        <v>91</v>
      </c>
      <c r="J597">
        <v>1952540</v>
      </c>
    </row>
    <row r="598" spans="4:10" x14ac:dyDescent="0.25">
      <c r="D598">
        <v>3</v>
      </c>
      <c r="E598" t="s">
        <v>107</v>
      </c>
      <c r="F598" t="s">
        <v>1583</v>
      </c>
      <c r="G598">
        <v>30</v>
      </c>
      <c r="H598" t="s">
        <v>1584</v>
      </c>
      <c r="I598">
        <v>169</v>
      </c>
      <c r="J598">
        <v>1953817</v>
      </c>
    </row>
    <row r="599" spans="4:10" x14ac:dyDescent="0.25">
      <c r="D599">
        <v>3</v>
      </c>
      <c r="E599" t="s">
        <v>255</v>
      </c>
      <c r="F599" t="s">
        <v>1586</v>
      </c>
      <c r="G599">
        <v>66</v>
      </c>
      <c r="H599" t="s">
        <v>1587</v>
      </c>
      <c r="I599">
        <v>96</v>
      </c>
      <c r="J599">
        <v>1953935</v>
      </c>
    </row>
    <row r="600" spans="4:10" x14ac:dyDescent="0.25">
      <c r="D600">
        <v>3</v>
      </c>
      <c r="E600" t="s">
        <v>50</v>
      </c>
      <c r="F600" t="s">
        <v>1589</v>
      </c>
      <c r="G600">
        <v>30</v>
      </c>
      <c r="H600" t="s">
        <v>1590</v>
      </c>
      <c r="I600">
        <v>233</v>
      </c>
      <c r="J600">
        <v>1955669</v>
      </c>
    </row>
    <row r="601" spans="4:10" x14ac:dyDescent="0.25">
      <c r="D601">
        <v>3</v>
      </c>
      <c r="E601" t="s">
        <v>107</v>
      </c>
      <c r="F601" t="s">
        <v>1592</v>
      </c>
      <c r="G601">
        <v>30</v>
      </c>
      <c r="H601" t="s">
        <v>1593</v>
      </c>
      <c r="I601">
        <v>230</v>
      </c>
      <c r="J601">
        <v>1955689</v>
      </c>
    </row>
    <row r="602" spans="4:10" x14ac:dyDescent="0.25">
      <c r="D602">
        <v>3</v>
      </c>
      <c r="E602" t="s">
        <v>43</v>
      </c>
      <c r="F602" t="s">
        <v>1595</v>
      </c>
      <c r="G602">
        <v>30</v>
      </c>
      <c r="H602" t="s">
        <v>1596</v>
      </c>
      <c r="I602">
        <v>238</v>
      </c>
      <c r="J602">
        <v>1955778</v>
      </c>
    </row>
    <row r="603" spans="4:10" x14ac:dyDescent="0.25">
      <c r="D603">
        <v>3</v>
      </c>
      <c r="E603" t="s">
        <v>54</v>
      </c>
      <c r="F603" t="s">
        <v>1598</v>
      </c>
      <c r="G603">
        <v>30</v>
      </c>
      <c r="H603" t="s">
        <v>1599</v>
      </c>
      <c r="I603">
        <v>281</v>
      </c>
      <c r="J603">
        <v>1955815</v>
      </c>
    </row>
    <row r="604" spans="4:10" x14ac:dyDescent="0.25">
      <c r="D604">
        <v>3</v>
      </c>
      <c r="E604" t="s">
        <v>16</v>
      </c>
      <c r="F604" t="s">
        <v>1601</v>
      </c>
      <c r="G604">
        <v>77</v>
      </c>
      <c r="H604" t="s">
        <v>1602</v>
      </c>
      <c r="I604">
        <v>49</v>
      </c>
      <c r="J604">
        <v>1956840</v>
      </c>
    </row>
    <row r="605" spans="4:10" x14ac:dyDescent="0.25">
      <c r="D605">
        <v>3</v>
      </c>
      <c r="E605" t="s">
        <v>8</v>
      </c>
      <c r="F605" t="s">
        <v>1604</v>
      </c>
      <c r="G605">
        <v>86</v>
      </c>
      <c r="H605" t="s">
        <v>1605</v>
      </c>
      <c r="I605">
        <v>219</v>
      </c>
      <c r="J605">
        <v>1958970</v>
      </c>
    </row>
    <row r="606" spans="4:10" x14ac:dyDescent="0.25">
      <c r="D606">
        <v>3</v>
      </c>
      <c r="E606" t="s">
        <v>12</v>
      </c>
      <c r="F606" t="s">
        <v>1607</v>
      </c>
      <c r="G606">
        <v>193</v>
      </c>
      <c r="H606" t="s">
        <v>1608</v>
      </c>
      <c r="I606">
        <v>98</v>
      </c>
      <c r="J606">
        <v>1961080</v>
      </c>
    </row>
    <row r="607" spans="4:10" x14ac:dyDescent="0.25">
      <c r="D607">
        <v>3</v>
      </c>
      <c r="E607" t="s">
        <v>43</v>
      </c>
      <c r="F607" t="s">
        <v>1610</v>
      </c>
      <c r="G607">
        <v>84</v>
      </c>
      <c r="H607" t="s">
        <v>1611</v>
      </c>
      <c r="I607">
        <v>34</v>
      </c>
      <c r="J607">
        <v>1961218</v>
      </c>
    </row>
    <row r="608" spans="4:10" x14ac:dyDescent="0.25">
      <c r="D608">
        <v>3</v>
      </c>
      <c r="E608" t="s">
        <v>39</v>
      </c>
      <c r="F608" t="s">
        <v>1613</v>
      </c>
      <c r="G608">
        <v>84</v>
      </c>
      <c r="H608" t="s">
        <v>1614</v>
      </c>
      <c r="I608">
        <v>10</v>
      </c>
      <c r="J608">
        <v>1961314</v>
      </c>
    </row>
    <row r="609" spans="4:10" x14ac:dyDescent="0.25">
      <c r="D609">
        <v>3</v>
      </c>
      <c r="E609" t="s">
        <v>24</v>
      </c>
      <c r="F609" t="s">
        <v>1616</v>
      </c>
      <c r="G609">
        <v>84</v>
      </c>
      <c r="H609" t="s">
        <v>1617</v>
      </c>
      <c r="I609">
        <v>179</v>
      </c>
      <c r="J609">
        <v>1961318</v>
      </c>
    </row>
    <row r="610" spans="4:10" x14ac:dyDescent="0.25">
      <c r="D610">
        <v>3</v>
      </c>
      <c r="E610" t="s">
        <v>39</v>
      </c>
      <c r="F610" t="s">
        <v>1619</v>
      </c>
      <c r="G610">
        <v>108</v>
      </c>
      <c r="H610" t="s">
        <v>1620</v>
      </c>
      <c r="I610">
        <v>162</v>
      </c>
      <c r="J610">
        <v>1961406</v>
      </c>
    </row>
    <row r="611" spans="4:10" x14ac:dyDescent="0.25">
      <c r="D611">
        <v>3</v>
      </c>
      <c r="E611" t="s">
        <v>16</v>
      </c>
      <c r="F611" t="s">
        <v>1621</v>
      </c>
      <c r="G611">
        <v>5</v>
      </c>
      <c r="H611" t="s">
        <v>1622</v>
      </c>
      <c r="I611">
        <v>25</v>
      </c>
      <c r="J611">
        <v>1963520</v>
      </c>
    </row>
    <row r="612" spans="4:10" x14ac:dyDescent="0.25">
      <c r="D612">
        <v>3</v>
      </c>
      <c r="E612" t="s">
        <v>35</v>
      </c>
      <c r="F612" t="s">
        <v>1624</v>
      </c>
      <c r="G612">
        <v>84</v>
      </c>
      <c r="H612" t="s">
        <v>1625</v>
      </c>
      <c r="I612">
        <v>327</v>
      </c>
      <c r="J612">
        <v>1963800</v>
      </c>
    </row>
    <row r="613" spans="4:10" x14ac:dyDescent="0.25">
      <c r="D613">
        <v>3</v>
      </c>
      <c r="E613" t="s">
        <v>54</v>
      </c>
      <c r="F613" t="s">
        <v>1627</v>
      </c>
      <c r="G613">
        <v>37</v>
      </c>
      <c r="H613" t="s">
        <v>1628</v>
      </c>
      <c r="I613">
        <v>285</v>
      </c>
      <c r="J613">
        <v>1966505</v>
      </c>
    </row>
    <row r="614" spans="4:10" x14ac:dyDescent="0.25">
      <c r="D614">
        <v>3</v>
      </c>
      <c r="E614" t="s">
        <v>24</v>
      </c>
      <c r="F614" t="s">
        <v>1630</v>
      </c>
      <c r="G614">
        <v>37</v>
      </c>
      <c r="H614" t="s">
        <v>1631</v>
      </c>
      <c r="I614">
        <v>268</v>
      </c>
      <c r="J614">
        <v>1967058</v>
      </c>
    </row>
    <row r="615" spans="4:10" x14ac:dyDescent="0.25">
      <c r="D615">
        <v>3</v>
      </c>
      <c r="E615" t="s">
        <v>20</v>
      </c>
      <c r="F615" t="s">
        <v>1630</v>
      </c>
      <c r="G615">
        <v>37</v>
      </c>
      <c r="H615" t="s">
        <v>1631</v>
      </c>
      <c r="I615">
        <v>267</v>
      </c>
      <c r="J615">
        <v>1967058</v>
      </c>
    </row>
    <row r="616" spans="4:10" x14ac:dyDescent="0.25">
      <c r="D616">
        <v>3</v>
      </c>
      <c r="E616" t="s">
        <v>155</v>
      </c>
      <c r="F616" t="s">
        <v>1633</v>
      </c>
      <c r="G616">
        <v>37</v>
      </c>
      <c r="H616" t="s">
        <v>1634</v>
      </c>
      <c r="I616">
        <v>247</v>
      </c>
      <c r="J616">
        <v>1967104</v>
      </c>
    </row>
    <row r="617" spans="4:10" x14ac:dyDescent="0.25">
      <c r="D617">
        <v>3</v>
      </c>
      <c r="E617" t="s">
        <v>24</v>
      </c>
      <c r="F617" t="s">
        <v>1636</v>
      </c>
      <c r="G617">
        <v>13</v>
      </c>
      <c r="H617" t="s">
        <v>1637</v>
      </c>
      <c r="I617">
        <v>225</v>
      </c>
      <c r="J617">
        <v>1967454</v>
      </c>
    </row>
    <row r="618" spans="4:10" x14ac:dyDescent="0.25">
      <c r="D618">
        <v>3</v>
      </c>
      <c r="E618" t="s">
        <v>54</v>
      </c>
      <c r="F618" t="s">
        <v>1639</v>
      </c>
      <c r="G618">
        <v>147</v>
      </c>
      <c r="H618" t="s">
        <v>1640</v>
      </c>
      <c r="I618">
        <v>210</v>
      </c>
      <c r="J618">
        <v>1970517</v>
      </c>
    </row>
    <row r="619" spans="4:10" x14ac:dyDescent="0.25">
      <c r="D619">
        <v>3</v>
      </c>
      <c r="E619" t="s">
        <v>12</v>
      </c>
      <c r="F619" t="s">
        <v>1642</v>
      </c>
      <c r="G619">
        <v>77</v>
      </c>
      <c r="H619" t="s">
        <v>1643</v>
      </c>
      <c r="I619">
        <v>143</v>
      </c>
      <c r="J619">
        <v>1970898</v>
      </c>
    </row>
    <row r="620" spans="4:10" x14ac:dyDescent="0.25">
      <c r="D620">
        <v>3</v>
      </c>
      <c r="E620" t="s">
        <v>39</v>
      </c>
      <c r="F620" t="s">
        <v>1645</v>
      </c>
      <c r="G620">
        <v>77</v>
      </c>
      <c r="H620" t="s">
        <v>1646</v>
      </c>
      <c r="I620">
        <v>145</v>
      </c>
      <c r="J620">
        <v>1970905</v>
      </c>
    </row>
    <row r="621" spans="4:10" x14ac:dyDescent="0.25">
      <c r="D621">
        <v>3</v>
      </c>
      <c r="E621" t="s">
        <v>54</v>
      </c>
      <c r="F621" t="s">
        <v>1648</v>
      </c>
      <c r="G621">
        <v>147</v>
      </c>
      <c r="H621" t="s">
        <v>1649</v>
      </c>
      <c r="I621">
        <v>55</v>
      </c>
      <c r="J621">
        <v>1972078</v>
      </c>
    </row>
    <row r="622" spans="4:10" x14ac:dyDescent="0.25">
      <c r="D622">
        <v>3</v>
      </c>
      <c r="E622" t="s">
        <v>43</v>
      </c>
      <c r="F622" t="s">
        <v>498</v>
      </c>
      <c r="G622">
        <v>147</v>
      </c>
      <c r="H622" t="s">
        <v>499</v>
      </c>
      <c r="I622">
        <v>50</v>
      </c>
      <c r="J622">
        <v>1972105</v>
      </c>
    </row>
    <row r="623" spans="4:10" x14ac:dyDescent="0.25">
      <c r="D623">
        <v>3</v>
      </c>
      <c r="E623" t="s">
        <v>35</v>
      </c>
      <c r="F623" t="s">
        <v>498</v>
      </c>
      <c r="G623">
        <v>147</v>
      </c>
      <c r="H623" t="s">
        <v>499</v>
      </c>
      <c r="I623">
        <v>51</v>
      </c>
      <c r="J623">
        <v>1972105</v>
      </c>
    </row>
    <row r="624" spans="4:10" x14ac:dyDescent="0.25">
      <c r="D624">
        <v>3</v>
      </c>
      <c r="E624" t="s">
        <v>39</v>
      </c>
      <c r="F624" t="s">
        <v>1651</v>
      </c>
      <c r="G624">
        <v>37</v>
      </c>
      <c r="H624" t="s">
        <v>1652</v>
      </c>
      <c r="I624">
        <v>83</v>
      </c>
      <c r="J624">
        <v>1972293</v>
      </c>
    </row>
    <row r="625" spans="4:10" x14ac:dyDescent="0.25">
      <c r="D625">
        <v>3</v>
      </c>
      <c r="E625" t="s">
        <v>255</v>
      </c>
      <c r="F625" t="s">
        <v>1654</v>
      </c>
      <c r="G625">
        <v>147</v>
      </c>
      <c r="H625" t="s">
        <v>1655</v>
      </c>
      <c r="I625">
        <v>249</v>
      </c>
      <c r="J625">
        <v>1972525</v>
      </c>
    </row>
    <row r="626" spans="4:10" x14ac:dyDescent="0.25">
      <c r="D626">
        <v>3</v>
      </c>
      <c r="E626" t="s">
        <v>24</v>
      </c>
      <c r="F626" t="s">
        <v>1657</v>
      </c>
      <c r="G626">
        <v>147</v>
      </c>
      <c r="H626" t="s">
        <v>1658</v>
      </c>
      <c r="I626">
        <v>266</v>
      </c>
      <c r="J626">
        <v>1972545</v>
      </c>
    </row>
    <row r="627" spans="4:10" x14ac:dyDescent="0.25">
      <c r="D627">
        <v>3</v>
      </c>
      <c r="E627" t="s">
        <v>155</v>
      </c>
      <c r="F627" t="s">
        <v>1660</v>
      </c>
      <c r="G627">
        <v>37</v>
      </c>
      <c r="H627" t="s">
        <v>1661</v>
      </c>
      <c r="I627">
        <v>294</v>
      </c>
      <c r="J627">
        <v>1973102</v>
      </c>
    </row>
    <row r="628" spans="4:10" x14ac:dyDescent="0.25">
      <c r="D628">
        <v>3</v>
      </c>
      <c r="E628" t="s">
        <v>107</v>
      </c>
      <c r="F628" t="s">
        <v>1663</v>
      </c>
      <c r="G628">
        <v>37</v>
      </c>
      <c r="H628" t="s">
        <v>1664</v>
      </c>
      <c r="I628">
        <v>149</v>
      </c>
      <c r="J628">
        <v>1973213</v>
      </c>
    </row>
    <row r="629" spans="4:10" x14ac:dyDescent="0.25">
      <c r="D629">
        <v>3</v>
      </c>
      <c r="E629" t="s">
        <v>50</v>
      </c>
      <c r="F629" t="s">
        <v>1666</v>
      </c>
      <c r="G629">
        <v>37</v>
      </c>
      <c r="H629" t="s">
        <v>1667</v>
      </c>
      <c r="I629">
        <v>57</v>
      </c>
      <c r="J629">
        <v>1974216</v>
      </c>
    </row>
    <row r="630" spans="4:10" x14ac:dyDescent="0.25">
      <c r="D630">
        <v>3</v>
      </c>
      <c r="E630" t="s">
        <v>155</v>
      </c>
      <c r="F630" t="s">
        <v>1669</v>
      </c>
      <c r="G630">
        <v>191</v>
      </c>
      <c r="H630" t="s">
        <v>1670</v>
      </c>
      <c r="I630">
        <v>114</v>
      </c>
      <c r="J630">
        <v>1976480</v>
      </c>
    </row>
    <row r="631" spans="4:10" x14ac:dyDescent="0.25">
      <c r="D631">
        <v>3</v>
      </c>
      <c r="E631" t="s">
        <v>12</v>
      </c>
      <c r="F631" t="s">
        <v>1672</v>
      </c>
      <c r="G631">
        <v>191</v>
      </c>
      <c r="H631" t="s">
        <v>1673</v>
      </c>
      <c r="I631">
        <v>221</v>
      </c>
      <c r="J631">
        <v>1976545</v>
      </c>
    </row>
    <row r="632" spans="4:10" x14ac:dyDescent="0.25">
      <c r="D632">
        <v>3</v>
      </c>
      <c r="E632" t="s">
        <v>255</v>
      </c>
      <c r="F632" t="s">
        <v>1675</v>
      </c>
      <c r="G632">
        <v>191</v>
      </c>
      <c r="H632" t="s">
        <v>1676</v>
      </c>
      <c r="I632">
        <v>264</v>
      </c>
      <c r="J632">
        <v>1977754</v>
      </c>
    </row>
    <row r="633" spans="4:10" x14ac:dyDescent="0.25">
      <c r="D633">
        <v>3</v>
      </c>
      <c r="E633" t="s">
        <v>64</v>
      </c>
      <c r="F633" t="s">
        <v>1678</v>
      </c>
      <c r="G633">
        <v>160</v>
      </c>
      <c r="H633" t="s">
        <v>1679</v>
      </c>
      <c r="I633">
        <v>88</v>
      </c>
      <c r="J633">
        <v>1979870</v>
      </c>
    </row>
    <row r="634" spans="4:10" x14ac:dyDescent="0.25">
      <c r="D634">
        <v>3</v>
      </c>
      <c r="E634" t="s">
        <v>50</v>
      </c>
      <c r="F634" t="s">
        <v>1681</v>
      </c>
      <c r="G634">
        <v>160</v>
      </c>
      <c r="H634" t="s">
        <v>1682</v>
      </c>
      <c r="I634">
        <v>90</v>
      </c>
      <c r="J634">
        <v>1979904</v>
      </c>
    </row>
    <row r="635" spans="4:10" x14ac:dyDescent="0.25">
      <c r="D635">
        <v>3</v>
      </c>
      <c r="E635" t="s">
        <v>64</v>
      </c>
      <c r="F635" t="s">
        <v>1684</v>
      </c>
      <c r="G635">
        <v>166</v>
      </c>
      <c r="H635" t="s">
        <v>1685</v>
      </c>
      <c r="I635">
        <v>135</v>
      </c>
      <c r="J635">
        <v>1980115</v>
      </c>
    </row>
    <row r="636" spans="4:10" x14ac:dyDescent="0.25">
      <c r="D636">
        <v>3</v>
      </c>
      <c r="E636" t="s">
        <v>39</v>
      </c>
      <c r="F636" t="s">
        <v>1686</v>
      </c>
      <c r="G636">
        <v>166</v>
      </c>
      <c r="H636" t="s">
        <v>1687</v>
      </c>
      <c r="I636">
        <v>89</v>
      </c>
      <c r="J636">
        <v>1980125</v>
      </c>
    </row>
    <row r="637" spans="4:10" x14ac:dyDescent="0.25">
      <c r="D637">
        <v>3</v>
      </c>
      <c r="E637" t="s">
        <v>54</v>
      </c>
      <c r="F637" t="s">
        <v>1688</v>
      </c>
      <c r="G637">
        <v>166</v>
      </c>
      <c r="H637" t="s">
        <v>1689</v>
      </c>
      <c r="I637">
        <v>319</v>
      </c>
      <c r="J637">
        <v>1980149</v>
      </c>
    </row>
    <row r="638" spans="4:10" x14ac:dyDescent="0.25">
      <c r="D638">
        <v>3</v>
      </c>
      <c r="E638" t="s">
        <v>64</v>
      </c>
      <c r="F638" t="s">
        <v>1690</v>
      </c>
      <c r="G638">
        <v>166</v>
      </c>
      <c r="H638" t="s">
        <v>1691</v>
      </c>
      <c r="I638">
        <v>312</v>
      </c>
      <c r="J638">
        <v>1980153</v>
      </c>
    </row>
    <row r="639" spans="4:10" x14ac:dyDescent="0.25">
      <c r="D639">
        <v>3</v>
      </c>
      <c r="E639" t="s">
        <v>54</v>
      </c>
      <c r="F639" t="s">
        <v>1692</v>
      </c>
      <c r="G639">
        <v>15</v>
      </c>
      <c r="H639" t="s">
        <v>1693</v>
      </c>
      <c r="I639">
        <v>313</v>
      </c>
      <c r="J639">
        <v>1981760</v>
      </c>
    </row>
    <row r="640" spans="4:10" x14ac:dyDescent="0.25">
      <c r="D640">
        <v>3</v>
      </c>
      <c r="E640" t="s">
        <v>31</v>
      </c>
      <c r="F640" t="s">
        <v>1695</v>
      </c>
      <c r="G640">
        <v>15</v>
      </c>
      <c r="H640" t="s">
        <v>1696</v>
      </c>
      <c r="I640">
        <v>328</v>
      </c>
      <c r="J640">
        <v>1981785</v>
      </c>
    </row>
    <row r="641" spans="4:10" x14ac:dyDescent="0.25">
      <c r="D641">
        <v>3</v>
      </c>
      <c r="E641" t="s">
        <v>54</v>
      </c>
      <c r="F641" t="s">
        <v>1698</v>
      </c>
      <c r="G641">
        <v>33</v>
      </c>
      <c r="H641" t="s">
        <v>1699</v>
      </c>
      <c r="I641">
        <v>285</v>
      </c>
      <c r="J641">
        <v>2493835</v>
      </c>
    </row>
    <row r="642" spans="4:10" x14ac:dyDescent="0.25">
      <c r="D642">
        <v>3</v>
      </c>
      <c r="E642" t="s">
        <v>16</v>
      </c>
      <c r="F642" t="s">
        <v>1701</v>
      </c>
      <c r="G642">
        <v>4</v>
      </c>
      <c r="H642" t="s">
        <v>1702</v>
      </c>
      <c r="I642">
        <v>326</v>
      </c>
      <c r="J642">
        <v>3429662</v>
      </c>
    </row>
    <row r="643" spans="4:10" x14ac:dyDescent="0.25">
      <c r="D643">
        <v>3</v>
      </c>
      <c r="E643" t="s">
        <v>183</v>
      </c>
      <c r="F643" t="s">
        <v>1704</v>
      </c>
      <c r="G643">
        <v>113</v>
      </c>
      <c r="H643" t="s">
        <v>1705</v>
      </c>
      <c r="I643">
        <v>260</v>
      </c>
      <c r="J643">
        <v>4654306</v>
      </c>
    </row>
    <row r="644" spans="4:10" x14ac:dyDescent="0.25">
      <c r="D644">
        <v>3</v>
      </c>
      <c r="E644" t="s">
        <v>50</v>
      </c>
      <c r="F644" t="s">
        <v>1706</v>
      </c>
      <c r="G644">
        <v>215</v>
      </c>
      <c r="H644" t="s">
        <v>1707</v>
      </c>
      <c r="I644">
        <v>307</v>
      </c>
      <c r="J644">
        <v>1917153</v>
      </c>
    </row>
    <row r="645" spans="4:10" x14ac:dyDescent="0.25">
      <c r="D645">
        <v>1</v>
      </c>
      <c r="E645" t="s">
        <v>35</v>
      </c>
      <c r="F645" t="s">
        <v>1709</v>
      </c>
      <c r="G645">
        <v>215</v>
      </c>
      <c r="H645" t="s">
        <v>1710</v>
      </c>
      <c r="I645">
        <v>304</v>
      </c>
      <c r="J645">
        <v>1917154</v>
      </c>
    </row>
    <row r="646" spans="4:10" x14ac:dyDescent="0.25">
      <c r="D646">
        <v>3</v>
      </c>
      <c r="E646" t="s">
        <v>35</v>
      </c>
      <c r="F646" t="s">
        <v>1712</v>
      </c>
      <c r="G646">
        <v>215</v>
      </c>
      <c r="H646" t="s">
        <v>1713</v>
      </c>
      <c r="I646">
        <v>286</v>
      </c>
      <c r="J646">
        <v>1930773</v>
      </c>
    </row>
    <row r="647" spans="4:10" x14ac:dyDescent="0.25">
      <c r="D647">
        <v>3</v>
      </c>
      <c r="E647" t="s">
        <v>8</v>
      </c>
      <c r="F647" t="s">
        <v>1715</v>
      </c>
      <c r="G647">
        <v>215</v>
      </c>
      <c r="H647" t="s">
        <v>1716</v>
      </c>
      <c r="I647">
        <v>246</v>
      </c>
      <c r="J647">
        <v>1935873</v>
      </c>
    </row>
    <row r="648" spans="4:10" x14ac:dyDescent="0.25">
      <c r="D648">
        <v>1</v>
      </c>
      <c r="E648" t="s">
        <v>255</v>
      </c>
      <c r="F648" t="s">
        <v>1718</v>
      </c>
      <c r="G648">
        <v>215</v>
      </c>
      <c r="H648" t="s">
        <v>1719</v>
      </c>
      <c r="I648">
        <v>249</v>
      </c>
      <c r="J648">
        <v>1935895</v>
      </c>
    </row>
    <row r="649" spans="4:10" x14ac:dyDescent="0.25">
      <c r="D649">
        <v>2</v>
      </c>
      <c r="E649" t="s">
        <v>20</v>
      </c>
      <c r="F649" t="s">
        <v>1718</v>
      </c>
      <c r="G649">
        <v>215</v>
      </c>
      <c r="H649" t="s">
        <v>1719</v>
      </c>
      <c r="I649">
        <v>252</v>
      </c>
      <c r="J649">
        <v>1935895</v>
      </c>
    </row>
    <row r="650" spans="4:10" x14ac:dyDescent="0.25">
      <c r="D650">
        <v>2</v>
      </c>
      <c r="E650" t="s">
        <v>107</v>
      </c>
      <c r="F650" t="s">
        <v>1721</v>
      </c>
      <c r="G650">
        <v>215</v>
      </c>
      <c r="H650" t="s">
        <v>1722</v>
      </c>
      <c r="I650">
        <v>265</v>
      </c>
      <c r="J650">
        <v>1935901</v>
      </c>
    </row>
    <row r="651" spans="4:10" x14ac:dyDescent="0.25">
      <c r="D651">
        <v>2</v>
      </c>
      <c r="E651" t="s">
        <v>8</v>
      </c>
      <c r="F651" t="s">
        <v>1724</v>
      </c>
      <c r="G651">
        <v>215</v>
      </c>
      <c r="H651" t="s">
        <v>1725</v>
      </c>
      <c r="I651">
        <v>261</v>
      </c>
      <c r="J651">
        <v>1935902</v>
      </c>
    </row>
    <row r="652" spans="4:10" x14ac:dyDescent="0.25">
      <c r="D652">
        <v>1</v>
      </c>
      <c r="E652" t="s">
        <v>39</v>
      </c>
      <c r="F652" t="s">
        <v>1724</v>
      </c>
      <c r="G652">
        <v>215</v>
      </c>
      <c r="H652" t="s">
        <v>1725</v>
      </c>
      <c r="I652">
        <v>262</v>
      </c>
      <c r="J652">
        <v>1935902</v>
      </c>
    </row>
    <row r="653" spans="4:10" x14ac:dyDescent="0.25">
      <c r="D653">
        <v>3</v>
      </c>
      <c r="E653" t="s">
        <v>107</v>
      </c>
      <c r="F653" t="s">
        <v>1727</v>
      </c>
      <c r="G653">
        <v>215</v>
      </c>
      <c r="H653" t="s">
        <v>1728</v>
      </c>
      <c r="I653">
        <v>270</v>
      </c>
      <c r="J653">
        <v>1935903</v>
      </c>
    </row>
    <row r="654" spans="4:10" x14ac:dyDescent="0.25">
      <c r="D654">
        <v>2</v>
      </c>
      <c r="E654" t="s">
        <v>12</v>
      </c>
      <c r="F654" t="s">
        <v>1730</v>
      </c>
      <c r="G654">
        <v>215</v>
      </c>
      <c r="H654" t="s">
        <v>1731</v>
      </c>
      <c r="I654">
        <v>253</v>
      </c>
      <c r="J654">
        <v>1935909</v>
      </c>
    </row>
    <row r="655" spans="4:10" x14ac:dyDescent="0.25">
      <c r="D655">
        <v>3</v>
      </c>
      <c r="E655" t="s">
        <v>12</v>
      </c>
      <c r="F655" t="s">
        <v>1733</v>
      </c>
      <c r="G655">
        <v>215</v>
      </c>
      <c r="H655" t="s">
        <v>1734</v>
      </c>
      <c r="I655">
        <v>259</v>
      </c>
      <c r="J655">
        <v>1935918</v>
      </c>
    </row>
    <row r="656" spans="4:10" x14ac:dyDescent="0.25">
      <c r="D656">
        <v>1</v>
      </c>
      <c r="E656" t="s">
        <v>107</v>
      </c>
      <c r="F656" t="s">
        <v>1736</v>
      </c>
      <c r="G656">
        <v>215</v>
      </c>
      <c r="H656" t="s">
        <v>1737</v>
      </c>
      <c r="I656">
        <v>250</v>
      </c>
      <c r="J656">
        <v>1935923</v>
      </c>
    </row>
    <row r="657" spans="4:10" x14ac:dyDescent="0.25">
      <c r="D657">
        <v>2</v>
      </c>
      <c r="E657" t="s">
        <v>24</v>
      </c>
      <c r="F657" t="s">
        <v>1736</v>
      </c>
      <c r="G657">
        <v>215</v>
      </c>
      <c r="H657" t="s">
        <v>1737</v>
      </c>
      <c r="I657">
        <v>241</v>
      </c>
      <c r="J657">
        <v>1935923</v>
      </c>
    </row>
    <row r="658" spans="4:10" x14ac:dyDescent="0.25">
      <c r="D658">
        <v>3</v>
      </c>
      <c r="E658" t="s">
        <v>183</v>
      </c>
      <c r="F658" t="s">
        <v>1739</v>
      </c>
      <c r="G658">
        <v>215</v>
      </c>
      <c r="H658" t="s">
        <v>1740</v>
      </c>
      <c r="I658">
        <v>243</v>
      </c>
      <c r="J658">
        <v>1935938</v>
      </c>
    </row>
    <row r="659" spans="4:10" x14ac:dyDescent="0.25">
      <c r="D659">
        <v>1</v>
      </c>
      <c r="E659" t="s">
        <v>24</v>
      </c>
      <c r="F659" t="s">
        <v>1739</v>
      </c>
      <c r="G659">
        <v>215</v>
      </c>
      <c r="H659" t="s">
        <v>1740</v>
      </c>
      <c r="I659">
        <v>245</v>
      </c>
      <c r="J659">
        <v>1935938</v>
      </c>
    </row>
    <row r="660" spans="4:10" x14ac:dyDescent="0.25">
      <c r="D660">
        <v>1</v>
      </c>
      <c r="E660" t="s">
        <v>20</v>
      </c>
      <c r="F660" t="s">
        <v>1739</v>
      </c>
      <c r="G660">
        <v>215</v>
      </c>
      <c r="H660" t="s">
        <v>1740</v>
      </c>
      <c r="I660">
        <v>244</v>
      </c>
      <c r="J660">
        <v>1935938</v>
      </c>
    </row>
    <row r="661" spans="4:10" x14ac:dyDescent="0.25">
      <c r="D661">
        <v>3</v>
      </c>
      <c r="E661" t="s">
        <v>20</v>
      </c>
      <c r="F661" t="s">
        <v>1742</v>
      </c>
      <c r="G661">
        <v>215</v>
      </c>
      <c r="H661" t="s">
        <v>1743</v>
      </c>
      <c r="I661">
        <v>244</v>
      </c>
      <c r="J661">
        <v>1935943</v>
      </c>
    </row>
    <row r="662" spans="4:10" x14ac:dyDescent="0.25">
      <c r="D662">
        <v>3</v>
      </c>
      <c r="E662" t="s">
        <v>12</v>
      </c>
      <c r="F662" t="s">
        <v>1745</v>
      </c>
      <c r="G662">
        <v>215</v>
      </c>
      <c r="H662" t="s">
        <v>1746</v>
      </c>
      <c r="I662">
        <v>263</v>
      </c>
      <c r="J662">
        <v>1935957</v>
      </c>
    </row>
    <row r="663" spans="4:10" x14ac:dyDescent="0.25">
      <c r="D663">
        <v>2</v>
      </c>
      <c r="E663" t="s">
        <v>8</v>
      </c>
      <c r="F663" t="s">
        <v>1748</v>
      </c>
      <c r="G663">
        <v>215</v>
      </c>
      <c r="H663" t="s">
        <v>1749</v>
      </c>
      <c r="I663">
        <v>246</v>
      </c>
      <c r="J663">
        <v>1935984</v>
      </c>
    </row>
    <row r="664" spans="4:10" x14ac:dyDescent="0.25">
      <c r="D664">
        <v>2</v>
      </c>
      <c r="E664" t="s">
        <v>255</v>
      </c>
      <c r="F664" t="s">
        <v>1748</v>
      </c>
      <c r="G664">
        <v>215</v>
      </c>
      <c r="H664" t="s">
        <v>1749</v>
      </c>
      <c r="I664">
        <v>251</v>
      </c>
      <c r="J664">
        <v>1935984</v>
      </c>
    </row>
    <row r="665" spans="4:10" x14ac:dyDescent="0.25">
      <c r="D665">
        <v>2</v>
      </c>
      <c r="E665" t="s">
        <v>155</v>
      </c>
      <c r="F665" t="s">
        <v>1748</v>
      </c>
      <c r="G665">
        <v>215</v>
      </c>
      <c r="H665" t="s">
        <v>1749</v>
      </c>
      <c r="I665">
        <v>247</v>
      </c>
      <c r="J665">
        <v>1935984</v>
      </c>
    </row>
    <row r="666" spans="4:10" x14ac:dyDescent="0.25">
      <c r="D666">
        <v>2</v>
      </c>
      <c r="E666" t="s">
        <v>107</v>
      </c>
      <c r="F666" t="s">
        <v>1751</v>
      </c>
      <c r="G666">
        <v>215</v>
      </c>
      <c r="H666" t="s">
        <v>1752</v>
      </c>
      <c r="I666">
        <v>250</v>
      </c>
      <c r="J666">
        <v>1935998</v>
      </c>
    </row>
    <row r="667" spans="4:10" x14ac:dyDescent="0.25">
      <c r="D667">
        <v>3</v>
      </c>
      <c r="E667" t="s">
        <v>12</v>
      </c>
      <c r="F667" t="s">
        <v>1754</v>
      </c>
      <c r="G667">
        <v>215</v>
      </c>
      <c r="H667" t="s">
        <v>1755</v>
      </c>
      <c r="I667">
        <v>253</v>
      </c>
      <c r="J667">
        <v>1936001</v>
      </c>
    </row>
    <row r="668" spans="4:10" x14ac:dyDescent="0.25">
      <c r="D668">
        <v>1</v>
      </c>
      <c r="E668" t="s">
        <v>43</v>
      </c>
      <c r="F668" t="s">
        <v>1757</v>
      </c>
      <c r="G668">
        <v>215</v>
      </c>
      <c r="H668" t="s">
        <v>1758</v>
      </c>
      <c r="I668">
        <v>239</v>
      </c>
      <c r="J668">
        <v>1943206</v>
      </c>
    </row>
    <row r="669" spans="4:10" x14ac:dyDescent="0.25">
      <c r="D669">
        <v>2</v>
      </c>
      <c r="E669" t="s">
        <v>12</v>
      </c>
      <c r="F669" t="s">
        <v>1760</v>
      </c>
      <c r="G669">
        <v>215</v>
      </c>
      <c r="H669" t="s">
        <v>1761</v>
      </c>
      <c r="I669">
        <v>231</v>
      </c>
      <c r="J669">
        <v>1944226</v>
      </c>
    </row>
    <row r="670" spans="4:10" x14ac:dyDescent="0.25">
      <c r="D670">
        <v>3</v>
      </c>
      <c r="E670" t="s">
        <v>12</v>
      </c>
      <c r="F670" t="s">
        <v>1763</v>
      </c>
      <c r="G670">
        <v>215</v>
      </c>
      <c r="H670" t="s">
        <v>1764</v>
      </c>
      <c r="I670">
        <v>231</v>
      </c>
      <c r="J670">
        <v>1944232</v>
      </c>
    </row>
    <row r="671" spans="4:10" x14ac:dyDescent="0.25">
      <c r="D671">
        <v>2</v>
      </c>
      <c r="E671" t="s">
        <v>50</v>
      </c>
      <c r="F671" t="s">
        <v>1766</v>
      </c>
      <c r="G671">
        <v>215</v>
      </c>
      <c r="H671" t="s">
        <v>1767</v>
      </c>
      <c r="I671">
        <v>233</v>
      </c>
      <c r="J671">
        <v>1944247</v>
      </c>
    </row>
    <row r="672" spans="4:10" x14ac:dyDescent="0.25">
      <c r="D672">
        <v>1</v>
      </c>
      <c r="E672" t="s">
        <v>20</v>
      </c>
      <c r="F672" t="s">
        <v>1769</v>
      </c>
      <c r="G672">
        <v>215</v>
      </c>
      <c r="H672" t="s">
        <v>1770</v>
      </c>
      <c r="I672">
        <v>220</v>
      </c>
      <c r="J672">
        <v>1944354</v>
      </c>
    </row>
    <row r="673" spans="4:10" x14ac:dyDescent="0.25">
      <c r="D673">
        <v>2</v>
      </c>
      <c r="E673" t="s">
        <v>155</v>
      </c>
      <c r="F673" t="s">
        <v>1772</v>
      </c>
      <c r="G673">
        <v>215</v>
      </c>
      <c r="H673" t="s">
        <v>1773</v>
      </c>
      <c r="I673">
        <v>222</v>
      </c>
      <c r="J673">
        <v>1944373</v>
      </c>
    </row>
    <row r="674" spans="4:10" x14ac:dyDescent="0.25">
      <c r="D674">
        <v>2</v>
      </c>
      <c r="E674" t="s">
        <v>20</v>
      </c>
      <c r="F674" t="s">
        <v>1775</v>
      </c>
      <c r="G674">
        <v>215</v>
      </c>
      <c r="H674" t="s">
        <v>1776</v>
      </c>
      <c r="I674">
        <v>220</v>
      </c>
      <c r="J674">
        <v>1944385</v>
      </c>
    </row>
    <row r="675" spans="4:10" x14ac:dyDescent="0.25">
      <c r="D675">
        <v>3</v>
      </c>
      <c r="E675" t="s">
        <v>39</v>
      </c>
      <c r="F675" t="s">
        <v>1778</v>
      </c>
      <c r="G675">
        <v>215</v>
      </c>
      <c r="H675" t="s">
        <v>1779</v>
      </c>
      <c r="I675">
        <v>226</v>
      </c>
      <c r="J675">
        <v>1944397</v>
      </c>
    </row>
    <row r="676" spans="4:10" x14ac:dyDescent="0.25">
      <c r="D676">
        <v>2</v>
      </c>
      <c r="E676" t="s">
        <v>16</v>
      </c>
      <c r="F676" t="s">
        <v>1781</v>
      </c>
      <c r="G676">
        <v>215</v>
      </c>
      <c r="H676" t="s">
        <v>1782</v>
      </c>
      <c r="I676">
        <v>234</v>
      </c>
      <c r="J676">
        <v>1950307</v>
      </c>
    </row>
    <row r="677" spans="4:10" x14ac:dyDescent="0.25">
      <c r="D677">
        <v>3</v>
      </c>
      <c r="E677" t="s">
        <v>54</v>
      </c>
      <c r="F677" t="s">
        <v>1784</v>
      </c>
      <c r="G677">
        <v>215</v>
      </c>
      <c r="H677" t="s">
        <v>1785</v>
      </c>
      <c r="I677">
        <v>237</v>
      </c>
      <c r="J677">
        <v>1950309</v>
      </c>
    </row>
    <row r="678" spans="4:10" x14ac:dyDescent="0.25">
      <c r="D678">
        <v>3</v>
      </c>
      <c r="E678" t="s">
        <v>12</v>
      </c>
      <c r="F678" t="s">
        <v>1787</v>
      </c>
      <c r="G678">
        <v>215</v>
      </c>
      <c r="H678" t="s">
        <v>1788</v>
      </c>
      <c r="I678">
        <v>152</v>
      </c>
      <c r="J678">
        <v>1950602</v>
      </c>
    </row>
    <row r="679" spans="4:10" x14ac:dyDescent="0.25">
      <c r="D679">
        <v>1</v>
      </c>
      <c r="E679" t="s">
        <v>107</v>
      </c>
      <c r="F679" t="s">
        <v>1790</v>
      </c>
      <c r="G679">
        <v>215</v>
      </c>
      <c r="H679" t="s">
        <v>1791</v>
      </c>
      <c r="I679">
        <v>149</v>
      </c>
      <c r="J679">
        <v>1950611</v>
      </c>
    </row>
    <row r="680" spans="4:10" x14ac:dyDescent="0.25">
      <c r="D680">
        <v>2</v>
      </c>
      <c r="E680" t="s">
        <v>107</v>
      </c>
      <c r="F680" t="s">
        <v>1793</v>
      </c>
      <c r="G680">
        <v>215</v>
      </c>
      <c r="H680" t="s">
        <v>1794</v>
      </c>
      <c r="I680">
        <v>149</v>
      </c>
      <c r="J680">
        <v>1950643</v>
      </c>
    </row>
    <row r="681" spans="4:10" x14ac:dyDescent="0.25">
      <c r="D681">
        <v>1</v>
      </c>
      <c r="E681" t="s">
        <v>39</v>
      </c>
      <c r="F681" t="s">
        <v>1796</v>
      </c>
      <c r="G681">
        <v>215</v>
      </c>
      <c r="H681" t="s">
        <v>1797</v>
      </c>
      <c r="I681">
        <v>162</v>
      </c>
      <c r="J681">
        <v>1951724</v>
      </c>
    </row>
    <row r="682" spans="4:10" x14ac:dyDescent="0.25">
      <c r="D682">
        <v>2</v>
      </c>
      <c r="E682" t="s">
        <v>107</v>
      </c>
      <c r="F682" t="s">
        <v>1799</v>
      </c>
      <c r="G682">
        <v>215</v>
      </c>
      <c r="H682" t="s">
        <v>1800</v>
      </c>
      <c r="I682">
        <v>117</v>
      </c>
      <c r="J682">
        <v>1955070</v>
      </c>
    </row>
    <row r="683" spans="4:10" x14ac:dyDescent="0.25">
      <c r="D683">
        <v>2</v>
      </c>
      <c r="E683" t="s">
        <v>24</v>
      </c>
      <c r="F683" t="s">
        <v>1802</v>
      </c>
      <c r="G683">
        <v>215</v>
      </c>
      <c r="H683" t="s">
        <v>1803</v>
      </c>
      <c r="I683">
        <v>112</v>
      </c>
      <c r="J683">
        <v>1955071</v>
      </c>
    </row>
    <row r="684" spans="4:10" x14ac:dyDescent="0.25">
      <c r="D684">
        <v>3</v>
      </c>
      <c r="E684" t="s">
        <v>183</v>
      </c>
      <c r="F684" t="s">
        <v>1805</v>
      </c>
      <c r="G684">
        <v>215</v>
      </c>
      <c r="H684" t="s">
        <v>1806</v>
      </c>
      <c r="I684">
        <v>121</v>
      </c>
      <c r="J684">
        <v>1955079</v>
      </c>
    </row>
    <row r="685" spans="4:10" x14ac:dyDescent="0.25">
      <c r="D685">
        <v>1</v>
      </c>
      <c r="E685" t="s">
        <v>39</v>
      </c>
      <c r="F685" t="s">
        <v>1808</v>
      </c>
      <c r="G685">
        <v>215</v>
      </c>
      <c r="H685" t="s">
        <v>1809</v>
      </c>
      <c r="I685">
        <v>119</v>
      </c>
      <c r="J685">
        <v>1955081</v>
      </c>
    </row>
    <row r="686" spans="4:10" x14ac:dyDescent="0.25">
      <c r="D686">
        <v>1</v>
      </c>
      <c r="E686" t="s">
        <v>31</v>
      </c>
      <c r="F686" t="s">
        <v>1811</v>
      </c>
      <c r="G686">
        <v>215</v>
      </c>
      <c r="H686" t="s">
        <v>1812</v>
      </c>
      <c r="I686">
        <v>132</v>
      </c>
      <c r="J686">
        <v>1955106</v>
      </c>
    </row>
    <row r="687" spans="4:10" x14ac:dyDescent="0.25">
      <c r="D687">
        <v>2</v>
      </c>
      <c r="E687" t="s">
        <v>16</v>
      </c>
      <c r="F687" t="s">
        <v>1814</v>
      </c>
      <c r="G687">
        <v>215</v>
      </c>
      <c r="H687" t="s">
        <v>1815</v>
      </c>
      <c r="I687">
        <v>110</v>
      </c>
      <c r="J687">
        <v>1955126</v>
      </c>
    </row>
    <row r="688" spans="4:10" x14ac:dyDescent="0.25">
      <c r="D688">
        <v>3</v>
      </c>
      <c r="E688" t="s">
        <v>24</v>
      </c>
      <c r="F688" t="s">
        <v>1817</v>
      </c>
      <c r="G688">
        <v>215</v>
      </c>
      <c r="H688" t="s">
        <v>1818</v>
      </c>
      <c r="I688">
        <v>99</v>
      </c>
      <c r="J688">
        <v>1955132</v>
      </c>
    </row>
    <row r="689" spans="4:10" x14ac:dyDescent="0.25">
      <c r="D689">
        <v>3</v>
      </c>
      <c r="E689" t="s">
        <v>35</v>
      </c>
      <c r="F689" t="s">
        <v>1820</v>
      </c>
      <c r="G689">
        <v>215</v>
      </c>
      <c r="H689" t="s">
        <v>1821</v>
      </c>
      <c r="I689">
        <v>327</v>
      </c>
      <c r="J689">
        <v>1955300</v>
      </c>
    </row>
    <row r="690" spans="4:10" x14ac:dyDescent="0.25">
      <c r="D690">
        <v>1</v>
      </c>
      <c r="E690" t="s">
        <v>64</v>
      </c>
      <c r="F690" t="s">
        <v>1823</v>
      </c>
      <c r="G690">
        <v>215</v>
      </c>
      <c r="H690" t="s">
        <v>1824</v>
      </c>
      <c r="I690">
        <v>322</v>
      </c>
      <c r="J690">
        <v>1955304</v>
      </c>
    </row>
    <row r="691" spans="4:10" x14ac:dyDescent="0.25">
      <c r="D691">
        <v>2</v>
      </c>
      <c r="E691" t="s">
        <v>31</v>
      </c>
      <c r="F691" t="s">
        <v>1826</v>
      </c>
      <c r="G691">
        <v>215</v>
      </c>
      <c r="H691" t="s">
        <v>1827</v>
      </c>
      <c r="I691">
        <v>323</v>
      </c>
      <c r="J691">
        <v>1955344</v>
      </c>
    </row>
    <row r="692" spans="4:10" x14ac:dyDescent="0.25">
      <c r="D692">
        <v>3</v>
      </c>
      <c r="E692" t="s">
        <v>16</v>
      </c>
      <c r="F692" t="s">
        <v>1829</v>
      </c>
      <c r="G692">
        <v>215</v>
      </c>
      <c r="H692" t="s">
        <v>1830</v>
      </c>
      <c r="I692">
        <v>326</v>
      </c>
      <c r="J692">
        <v>1955345</v>
      </c>
    </row>
    <row r="693" spans="4:10" x14ac:dyDescent="0.25">
      <c r="D693">
        <v>1</v>
      </c>
      <c r="E693" t="s">
        <v>50</v>
      </c>
      <c r="F693" t="s">
        <v>1832</v>
      </c>
      <c r="G693">
        <v>215</v>
      </c>
      <c r="H693" t="s">
        <v>1833</v>
      </c>
      <c r="I693">
        <v>318</v>
      </c>
      <c r="J693">
        <v>1955373</v>
      </c>
    </row>
    <row r="694" spans="4:10" x14ac:dyDescent="0.25">
      <c r="D694">
        <v>2</v>
      </c>
      <c r="E694" t="s">
        <v>35</v>
      </c>
      <c r="F694" t="s">
        <v>1835</v>
      </c>
      <c r="G694">
        <v>215</v>
      </c>
      <c r="H694" t="s">
        <v>1836</v>
      </c>
      <c r="I694">
        <v>324</v>
      </c>
      <c r="J694">
        <v>1955415</v>
      </c>
    </row>
    <row r="695" spans="4:10" x14ac:dyDescent="0.25">
      <c r="D695">
        <v>3</v>
      </c>
      <c r="E695" t="s">
        <v>35</v>
      </c>
      <c r="F695" t="s">
        <v>1838</v>
      </c>
      <c r="G695">
        <v>215</v>
      </c>
      <c r="H695" t="s">
        <v>1839</v>
      </c>
      <c r="I695">
        <v>320</v>
      </c>
      <c r="J695">
        <v>1955426</v>
      </c>
    </row>
    <row r="696" spans="4:10" x14ac:dyDescent="0.25">
      <c r="D696">
        <v>2</v>
      </c>
      <c r="E696" t="s">
        <v>39</v>
      </c>
      <c r="F696" t="s">
        <v>1841</v>
      </c>
      <c r="G696">
        <v>215</v>
      </c>
      <c r="H696" t="s">
        <v>1842</v>
      </c>
      <c r="I696">
        <v>1</v>
      </c>
      <c r="J696">
        <v>1955595</v>
      </c>
    </row>
    <row r="697" spans="4:10" x14ac:dyDescent="0.25">
      <c r="D697">
        <v>3</v>
      </c>
      <c r="E697" t="s">
        <v>64</v>
      </c>
      <c r="F697" t="s">
        <v>1844</v>
      </c>
      <c r="G697">
        <v>215</v>
      </c>
      <c r="H697" t="s">
        <v>1845</v>
      </c>
      <c r="I697">
        <v>84</v>
      </c>
      <c r="J697">
        <v>1955645</v>
      </c>
    </row>
    <row r="698" spans="4:10" x14ac:dyDescent="0.25">
      <c r="D698">
        <v>3</v>
      </c>
      <c r="E698" t="s">
        <v>20</v>
      </c>
      <c r="F698" t="s">
        <v>1847</v>
      </c>
      <c r="G698">
        <v>215</v>
      </c>
      <c r="H698" t="s">
        <v>1848</v>
      </c>
      <c r="I698">
        <v>16</v>
      </c>
      <c r="J698">
        <v>1959819</v>
      </c>
    </row>
    <row r="699" spans="4:10" x14ac:dyDescent="0.25">
      <c r="D699">
        <v>1</v>
      </c>
      <c r="E699" t="s">
        <v>255</v>
      </c>
      <c r="F699" t="s">
        <v>1850</v>
      </c>
      <c r="G699">
        <v>215</v>
      </c>
      <c r="H699" t="s">
        <v>1851</v>
      </c>
      <c r="I699">
        <v>15</v>
      </c>
      <c r="J699">
        <v>1959861</v>
      </c>
    </row>
    <row r="700" spans="4:10" x14ac:dyDescent="0.25">
      <c r="D700">
        <v>1</v>
      </c>
      <c r="E700" t="s">
        <v>20</v>
      </c>
      <c r="F700" t="s">
        <v>1850</v>
      </c>
      <c r="G700">
        <v>215</v>
      </c>
      <c r="H700" t="s">
        <v>1851</v>
      </c>
      <c r="I700">
        <v>16</v>
      </c>
      <c r="J700">
        <v>1959861</v>
      </c>
    </row>
    <row r="701" spans="4:10" x14ac:dyDescent="0.25">
      <c r="D701">
        <v>2</v>
      </c>
      <c r="E701" t="s">
        <v>43</v>
      </c>
      <c r="F701" t="s">
        <v>1850</v>
      </c>
      <c r="G701">
        <v>215</v>
      </c>
      <c r="H701" t="s">
        <v>1851</v>
      </c>
      <c r="I701">
        <v>19</v>
      </c>
      <c r="J701">
        <v>1959861</v>
      </c>
    </row>
    <row r="702" spans="4:10" x14ac:dyDescent="0.25">
      <c r="D702">
        <v>3</v>
      </c>
      <c r="E702" t="s">
        <v>20</v>
      </c>
      <c r="F702" t="s">
        <v>1853</v>
      </c>
      <c r="G702">
        <v>215</v>
      </c>
      <c r="H702" t="s">
        <v>1854</v>
      </c>
      <c r="I702">
        <v>9</v>
      </c>
      <c r="J702">
        <v>1959865</v>
      </c>
    </row>
    <row r="703" spans="4:10" x14ac:dyDescent="0.25">
      <c r="D703">
        <v>3</v>
      </c>
      <c r="E703" t="s">
        <v>255</v>
      </c>
      <c r="F703" t="s">
        <v>1856</v>
      </c>
      <c r="G703">
        <v>215</v>
      </c>
      <c r="H703" t="s">
        <v>1857</v>
      </c>
      <c r="I703">
        <v>15</v>
      </c>
      <c r="J703">
        <v>1959866</v>
      </c>
    </row>
    <row r="704" spans="4:10" x14ac:dyDescent="0.25">
      <c r="D704">
        <v>3</v>
      </c>
      <c r="E704" t="s">
        <v>39</v>
      </c>
      <c r="F704" t="s">
        <v>1856</v>
      </c>
      <c r="G704">
        <v>215</v>
      </c>
      <c r="H704" t="s">
        <v>1857</v>
      </c>
      <c r="I704">
        <v>17</v>
      </c>
      <c r="J704">
        <v>1959866</v>
      </c>
    </row>
    <row r="705" spans="4:10" x14ac:dyDescent="0.25">
      <c r="D705">
        <v>1</v>
      </c>
      <c r="E705" t="s">
        <v>16</v>
      </c>
      <c r="F705" t="s">
        <v>1859</v>
      </c>
      <c r="G705">
        <v>215</v>
      </c>
      <c r="H705" t="s">
        <v>1860</v>
      </c>
      <c r="I705">
        <v>54</v>
      </c>
      <c r="J705">
        <v>1960169</v>
      </c>
    </row>
    <row r="706" spans="4:10" x14ac:dyDescent="0.25">
      <c r="D706">
        <v>1</v>
      </c>
      <c r="E706" t="s">
        <v>39</v>
      </c>
      <c r="F706" t="s">
        <v>1862</v>
      </c>
      <c r="G706">
        <v>215</v>
      </c>
      <c r="H706" t="s">
        <v>1863</v>
      </c>
      <c r="I706">
        <v>22</v>
      </c>
      <c r="J706">
        <v>1960173</v>
      </c>
    </row>
    <row r="707" spans="4:10" x14ac:dyDescent="0.25">
      <c r="D707">
        <v>3</v>
      </c>
      <c r="E707" t="s">
        <v>54</v>
      </c>
      <c r="F707" t="s">
        <v>1862</v>
      </c>
      <c r="G707">
        <v>215</v>
      </c>
      <c r="H707" t="s">
        <v>1863</v>
      </c>
      <c r="I707">
        <v>23</v>
      </c>
      <c r="J707">
        <v>1960173</v>
      </c>
    </row>
    <row r="708" spans="4:10" x14ac:dyDescent="0.25">
      <c r="D708">
        <v>1</v>
      </c>
      <c r="E708" t="s">
        <v>50</v>
      </c>
      <c r="F708" t="s">
        <v>1865</v>
      </c>
      <c r="G708">
        <v>215</v>
      </c>
      <c r="H708" t="s">
        <v>1866</v>
      </c>
      <c r="I708">
        <v>24</v>
      </c>
      <c r="J708">
        <v>1960177</v>
      </c>
    </row>
    <row r="709" spans="4:10" x14ac:dyDescent="0.25">
      <c r="D709">
        <v>2</v>
      </c>
      <c r="E709" t="s">
        <v>43</v>
      </c>
      <c r="F709" t="s">
        <v>1868</v>
      </c>
      <c r="G709">
        <v>215</v>
      </c>
      <c r="H709" t="s">
        <v>1869</v>
      </c>
      <c r="I709">
        <v>34</v>
      </c>
      <c r="J709">
        <v>1960178</v>
      </c>
    </row>
    <row r="710" spans="4:10" x14ac:dyDescent="0.25">
      <c r="D710">
        <v>2</v>
      </c>
      <c r="E710" t="s">
        <v>20</v>
      </c>
      <c r="F710" t="s">
        <v>1871</v>
      </c>
      <c r="G710">
        <v>215</v>
      </c>
      <c r="H710" t="s">
        <v>1872</v>
      </c>
      <c r="I710">
        <v>45</v>
      </c>
      <c r="J710">
        <v>1960181</v>
      </c>
    </row>
    <row r="711" spans="4:10" x14ac:dyDescent="0.25">
      <c r="D711">
        <v>2</v>
      </c>
      <c r="E711" t="s">
        <v>54</v>
      </c>
      <c r="F711" t="s">
        <v>1874</v>
      </c>
      <c r="G711">
        <v>215</v>
      </c>
      <c r="H711" t="s">
        <v>1875</v>
      </c>
      <c r="I711">
        <v>55</v>
      </c>
      <c r="J711">
        <v>1960581</v>
      </c>
    </row>
    <row r="712" spans="4:10" x14ac:dyDescent="0.25">
      <c r="D712">
        <v>3</v>
      </c>
      <c r="E712" t="s">
        <v>64</v>
      </c>
      <c r="F712" t="s">
        <v>1877</v>
      </c>
      <c r="G712">
        <v>215</v>
      </c>
      <c r="H712" t="s">
        <v>1878</v>
      </c>
      <c r="I712">
        <v>46</v>
      </c>
      <c r="J712">
        <v>1960588</v>
      </c>
    </row>
    <row r="713" spans="4:10" x14ac:dyDescent="0.25">
      <c r="D713">
        <v>2</v>
      </c>
      <c r="E713" t="s">
        <v>54</v>
      </c>
      <c r="F713" t="s">
        <v>1880</v>
      </c>
      <c r="G713">
        <v>215</v>
      </c>
      <c r="H713" t="s">
        <v>1881</v>
      </c>
      <c r="I713">
        <v>23</v>
      </c>
      <c r="J713">
        <v>1960659</v>
      </c>
    </row>
    <row r="714" spans="4:10" x14ac:dyDescent="0.25">
      <c r="D714">
        <v>1</v>
      </c>
      <c r="E714" t="s">
        <v>35</v>
      </c>
      <c r="F714" t="s">
        <v>1883</v>
      </c>
      <c r="G714">
        <v>215</v>
      </c>
      <c r="H714" t="s">
        <v>1884</v>
      </c>
      <c r="I714">
        <v>32</v>
      </c>
      <c r="J714">
        <v>1960684</v>
      </c>
    </row>
    <row r="715" spans="4:10" x14ac:dyDescent="0.25">
      <c r="D715">
        <v>1</v>
      </c>
      <c r="E715" t="s">
        <v>20</v>
      </c>
      <c r="F715" t="s">
        <v>1886</v>
      </c>
      <c r="G715">
        <v>215</v>
      </c>
      <c r="H715" t="s">
        <v>1887</v>
      </c>
      <c r="I715">
        <v>37</v>
      </c>
      <c r="J715">
        <v>1960688</v>
      </c>
    </row>
    <row r="716" spans="4:10" x14ac:dyDescent="0.25">
      <c r="D716">
        <v>1</v>
      </c>
      <c r="E716" t="s">
        <v>54</v>
      </c>
      <c r="F716" t="s">
        <v>1889</v>
      </c>
      <c r="G716">
        <v>215</v>
      </c>
      <c r="H716" t="s">
        <v>1890</v>
      </c>
      <c r="I716">
        <v>58</v>
      </c>
      <c r="J716">
        <v>1960711</v>
      </c>
    </row>
    <row r="717" spans="4:10" x14ac:dyDescent="0.25">
      <c r="D717">
        <v>1</v>
      </c>
      <c r="E717" t="s">
        <v>43</v>
      </c>
      <c r="F717" t="s">
        <v>1892</v>
      </c>
      <c r="G717">
        <v>215</v>
      </c>
      <c r="H717" t="s">
        <v>1893</v>
      </c>
      <c r="I717">
        <v>61</v>
      </c>
      <c r="J717">
        <v>1960721</v>
      </c>
    </row>
    <row r="718" spans="4:10" x14ac:dyDescent="0.25">
      <c r="D718">
        <v>2</v>
      </c>
      <c r="E718" t="s">
        <v>64</v>
      </c>
      <c r="F718" t="s">
        <v>1895</v>
      </c>
      <c r="G718">
        <v>215</v>
      </c>
      <c r="H718" t="s">
        <v>1896</v>
      </c>
      <c r="I718">
        <v>62</v>
      </c>
      <c r="J718">
        <v>1960899</v>
      </c>
    </row>
    <row r="719" spans="4:10" x14ac:dyDescent="0.25">
      <c r="D719">
        <v>1</v>
      </c>
      <c r="E719" t="s">
        <v>64</v>
      </c>
      <c r="F719" t="s">
        <v>1898</v>
      </c>
      <c r="G719">
        <v>215</v>
      </c>
      <c r="H719" t="s">
        <v>1899</v>
      </c>
      <c r="I719">
        <v>26</v>
      </c>
      <c r="J719">
        <v>1960933</v>
      </c>
    </row>
    <row r="720" spans="4:10" x14ac:dyDescent="0.25">
      <c r="D720">
        <v>3</v>
      </c>
      <c r="E720" t="s">
        <v>39</v>
      </c>
      <c r="F720" t="s">
        <v>1901</v>
      </c>
      <c r="G720">
        <v>215</v>
      </c>
      <c r="H720" t="s">
        <v>1902</v>
      </c>
      <c r="I720">
        <v>22</v>
      </c>
      <c r="J720">
        <v>1960958</v>
      </c>
    </row>
    <row r="721" spans="4:10" x14ac:dyDescent="0.25">
      <c r="D721">
        <v>3</v>
      </c>
      <c r="E721" t="s">
        <v>155</v>
      </c>
      <c r="F721" t="s">
        <v>1904</v>
      </c>
      <c r="G721">
        <v>215</v>
      </c>
      <c r="H721" t="s">
        <v>1905</v>
      </c>
      <c r="I721">
        <v>28</v>
      </c>
      <c r="J721">
        <v>1960959</v>
      </c>
    </row>
    <row r="722" spans="4:10" x14ac:dyDescent="0.25">
      <c r="D722">
        <v>3</v>
      </c>
      <c r="E722" t="s">
        <v>16</v>
      </c>
      <c r="F722" t="s">
        <v>1904</v>
      </c>
      <c r="G722">
        <v>215</v>
      </c>
      <c r="H722" t="s">
        <v>1905</v>
      </c>
      <c r="I722">
        <v>27</v>
      </c>
      <c r="J722">
        <v>1960959</v>
      </c>
    </row>
    <row r="723" spans="4:10" x14ac:dyDescent="0.25">
      <c r="D723">
        <v>1</v>
      </c>
      <c r="E723" t="s">
        <v>54</v>
      </c>
      <c r="F723" t="s">
        <v>1907</v>
      </c>
      <c r="G723">
        <v>215</v>
      </c>
      <c r="H723" t="s">
        <v>1908</v>
      </c>
      <c r="I723">
        <v>31</v>
      </c>
      <c r="J723">
        <v>1960961</v>
      </c>
    </row>
    <row r="724" spans="4:10" x14ac:dyDescent="0.25">
      <c r="D724">
        <v>3</v>
      </c>
      <c r="E724" t="s">
        <v>20</v>
      </c>
      <c r="F724" t="s">
        <v>1910</v>
      </c>
      <c r="G724">
        <v>215</v>
      </c>
      <c r="H724" t="s">
        <v>1911</v>
      </c>
      <c r="I724">
        <v>45</v>
      </c>
      <c r="J724">
        <v>1961011</v>
      </c>
    </row>
    <row r="725" spans="4:10" x14ac:dyDescent="0.25">
      <c r="D725">
        <v>2</v>
      </c>
      <c r="E725" t="s">
        <v>54</v>
      </c>
      <c r="F725" t="s">
        <v>1913</v>
      </c>
      <c r="G725">
        <v>215</v>
      </c>
      <c r="H725" t="s">
        <v>1914</v>
      </c>
      <c r="I725">
        <v>31</v>
      </c>
      <c r="J725">
        <v>1965223</v>
      </c>
    </row>
    <row r="726" spans="4:10" x14ac:dyDescent="0.25">
      <c r="D726">
        <v>2</v>
      </c>
      <c r="E726" t="s">
        <v>20</v>
      </c>
      <c r="F726" t="s">
        <v>1916</v>
      </c>
      <c r="G726">
        <v>215</v>
      </c>
      <c r="H726" t="s">
        <v>1917</v>
      </c>
      <c r="I726">
        <v>37</v>
      </c>
      <c r="J726">
        <v>1965246</v>
      </c>
    </row>
    <row r="727" spans="4:10" x14ac:dyDescent="0.25">
      <c r="D727">
        <v>3</v>
      </c>
      <c r="E727" t="s">
        <v>20</v>
      </c>
      <c r="F727" t="s">
        <v>1919</v>
      </c>
      <c r="G727">
        <v>215</v>
      </c>
      <c r="H727" t="s">
        <v>1920</v>
      </c>
      <c r="I727">
        <v>59</v>
      </c>
      <c r="J727">
        <v>1965250</v>
      </c>
    </row>
    <row r="728" spans="4:10" x14ac:dyDescent="0.25">
      <c r="D728">
        <v>3</v>
      </c>
      <c r="E728" t="s">
        <v>54</v>
      </c>
      <c r="F728" t="s">
        <v>1919</v>
      </c>
      <c r="G728">
        <v>215</v>
      </c>
      <c r="H728" t="s">
        <v>1920</v>
      </c>
      <c r="I728">
        <v>58</v>
      </c>
      <c r="J728">
        <v>1965250</v>
      </c>
    </row>
    <row r="729" spans="4:10" x14ac:dyDescent="0.25">
      <c r="D729">
        <v>2</v>
      </c>
      <c r="E729" t="s">
        <v>50</v>
      </c>
      <c r="F729" t="s">
        <v>1922</v>
      </c>
      <c r="G729">
        <v>215</v>
      </c>
      <c r="H729" t="s">
        <v>1923</v>
      </c>
      <c r="I729">
        <v>57</v>
      </c>
      <c r="J729">
        <v>1965268</v>
      </c>
    </row>
    <row r="730" spans="4:10" x14ac:dyDescent="0.25">
      <c r="D730">
        <v>3</v>
      </c>
      <c r="E730" t="s">
        <v>64</v>
      </c>
      <c r="F730" t="s">
        <v>1925</v>
      </c>
      <c r="G730">
        <v>215</v>
      </c>
      <c r="H730" t="s">
        <v>1926</v>
      </c>
      <c r="I730">
        <v>26</v>
      </c>
      <c r="J730">
        <v>1965327</v>
      </c>
    </row>
    <row r="731" spans="4:10" x14ac:dyDescent="0.25">
      <c r="D731">
        <v>1</v>
      </c>
      <c r="E731" t="s">
        <v>64</v>
      </c>
      <c r="F731" t="s">
        <v>1928</v>
      </c>
      <c r="G731">
        <v>215</v>
      </c>
      <c r="H731" t="s">
        <v>1929</v>
      </c>
      <c r="I731">
        <v>46</v>
      </c>
      <c r="J731">
        <v>1965868</v>
      </c>
    </row>
    <row r="732" spans="4:10" x14ac:dyDescent="0.25">
      <c r="D732">
        <v>2</v>
      </c>
      <c r="E732" t="s">
        <v>50</v>
      </c>
      <c r="F732" t="s">
        <v>1931</v>
      </c>
      <c r="G732">
        <v>215</v>
      </c>
      <c r="H732" t="s">
        <v>1932</v>
      </c>
      <c r="I732">
        <v>30</v>
      </c>
      <c r="J732">
        <v>1965896</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3058A-9A2A-4D7D-8501-ED74700EEBA9}">
  <sheetPr>
    <tabColor theme="6"/>
  </sheetPr>
  <dimension ref="A1:R33"/>
  <sheetViews>
    <sheetView topLeftCell="A34" workbookViewId="0">
      <selection activeCell="L33" sqref="L33"/>
    </sheetView>
  </sheetViews>
  <sheetFormatPr baseColWidth="10" defaultColWidth="11.42578125" defaultRowHeight="15.75" x14ac:dyDescent="0.25"/>
  <cols>
    <col min="1" max="1" width="80.140625" style="20" customWidth="1"/>
    <col min="2" max="2" width="11.42578125" style="20"/>
    <col min="3" max="3" width="9.85546875" style="20" customWidth="1"/>
    <col min="4" max="4" width="19.28515625" style="13" customWidth="1"/>
    <col min="5" max="5" width="22.140625" style="12" bestFit="1" customWidth="1"/>
    <col min="6" max="6" width="13.5703125" style="12" bestFit="1" customWidth="1"/>
    <col min="8" max="8" width="11.42578125" style="20" customWidth="1"/>
    <col min="9" max="12" width="11.42578125" style="20"/>
    <col min="13" max="13" width="27.42578125" style="20" customWidth="1"/>
  </cols>
  <sheetData>
    <row r="1" spans="1:18" s="21" customFormat="1" ht="73.5" customHeight="1" x14ac:dyDescent="0.25">
      <c r="A1" s="21" t="e" vm="1">
        <f>Variables!$A$1</f>
        <v>#VALUE!</v>
      </c>
    </row>
    <row r="2" spans="1:18" s="37" customFormat="1" ht="8.1" customHeight="1" x14ac:dyDescent="0.25"/>
    <row r="3" spans="1:18" s="20" customFormat="1" ht="21" x14ac:dyDescent="0.35">
      <c r="D3" s="40" t="s">
        <v>1934</v>
      </c>
      <c r="E3"/>
      <c r="F3"/>
      <c r="G3"/>
      <c r="N3"/>
      <c r="O3"/>
      <c r="P3"/>
      <c r="Q3"/>
      <c r="R3"/>
    </row>
    <row r="4" spans="1:18" s="20" customFormat="1" ht="18.75" x14ac:dyDescent="0.3">
      <c r="D4" s="14" t="s">
        <v>1935</v>
      </c>
      <c r="E4" s="15" t="s">
        <v>1936</v>
      </c>
      <c r="F4" s="15" t="s">
        <v>1937</v>
      </c>
      <c r="G4" t="s">
        <v>1938</v>
      </c>
      <c r="N4"/>
      <c r="O4"/>
      <c r="P4"/>
      <c r="Q4"/>
      <c r="R4"/>
    </row>
    <row r="5" spans="1:18" s="20" customFormat="1" x14ac:dyDescent="0.25">
      <c r="D5" s="13">
        <v>42371</v>
      </c>
      <c r="E5" s="12" t="s">
        <v>1939</v>
      </c>
      <c r="F5" s="12">
        <v>943.6</v>
      </c>
      <c r="G5" s="10">
        <f t="shared" ref="G5:G17" si="0">F5/$F$33</f>
        <v>5.6961414014584447E-2</v>
      </c>
      <c r="N5"/>
      <c r="O5"/>
      <c r="P5"/>
      <c r="Q5"/>
      <c r="R5"/>
    </row>
    <row r="6" spans="1:18" s="20" customFormat="1" x14ac:dyDescent="0.25">
      <c r="D6" s="13">
        <v>42371</v>
      </c>
      <c r="E6" s="12" t="s">
        <v>1940</v>
      </c>
      <c r="F6" s="12">
        <v>299.60000000000002</v>
      </c>
      <c r="G6" s="10">
        <f t="shared" si="0"/>
        <v>1.8085671512049067E-2</v>
      </c>
      <c r="N6"/>
      <c r="O6"/>
      <c r="P6"/>
      <c r="Q6"/>
      <c r="R6"/>
    </row>
    <row r="7" spans="1:18" s="20" customFormat="1" x14ac:dyDescent="0.25">
      <c r="D7" s="13">
        <v>42371</v>
      </c>
      <c r="E7" s="12" t="s">
        <v>1941</v>
      </c>
      <c r="F7" s="12">
        <v>463.6</v>
      </c>
      <c r="G7" s="10">
        <f t="shared" si="0"/>
        <v>2.7985705317042552E-2</v>
      </c>
      <c r="N7"/>
      <c r="O7"/>
      <c r="P7"/>
      <c r="Q7"/>
      <c r="R7"/>
    </row>
    <row r="8" spans="1:18" s="20" customFormat="1" x14ac:dyDescent="0.25">
      <c r="D8" s="13">
        <v>42371</v>
      </c>
      <c r="E8" s="12" t="s">
        <v>1942</v>
      </c>
      <c r="F8" s="12">
        <v>471.6</v>
      </c>
      <c r="G8" s="10">
        <f t="shared" si="0"/>
        <v>2.8468633795334916E-2</v>
      </c>
      <c r="N8"/>
      <c r="O8"/>
      <c r="P8"/>
      <c r="Q8"/>
      <c r="R8"/>
    </row>
    <row r="9" spans="1:18" s="20" customFormat="1" x14ac:dyDescent="0.25">
      <c r="D9" s="13">
        <v>42371</v>
      </c>
      <c r="E9" s="12" t="s">
        <v>1940</v>
      </c>
      <c r="F9" s="12">
        <v>181.2</v>
      </c>
      <c r="G9" s="10">
        <f t="shared" si="0"/>
        <v>1.0938330033322065E-2</v>
      </c>
      <c r="N9"/>
      <c r="O9"/>
      <c r="P9"/>
      <c r="Q9"/>
      <c r="R9"/>
    </row>
    <row r="10" spans="1:18" s="20" customFormat="1" x14ac:dyDescent="0.25">
      <c r="D10" s="13">
        <v>42371</v>
      </c>
      <c r="E10" s="12" t="s">
        <v>1940</v>
      </c>
      <c r="F10" s="12">
        <v>1266.4000000000001</v>
      </c>
      <c r="G10" s="10">
        <f t="shared" si="0"/>
        <v>7.6447578113681372E-2</v>
      </c>
      <c r="N10"/>
      <c r="O10"/>
      <c r="P10"/>
      <c r="Q10"/>
      <c r="R10"/>
    </row>
    <row r="11" spans="1:18" s="20" customFormat="1" x14ac:dyDescent="0.25">
      <c r="D11" s="13">
        <v>42371</v>
      </c>
      <c r="E11" s="12" t="s">
        <v>1940</v>
      </c>
      <c r="F11" s="12">
        <v>898</v>
      </c>
      <c r="G11" s="10">
        <f t="shared" si="0"/>
        <v>5.4208721688317967E-2</v>
      </c>
      <c r="N11"/>
      <c r="O11"/>
      <c r="P11"/>
      <c r="Q11"/>
      <c r="R11"/>
    </row>
    <row r="12" spans="1:18" s="20" customFormat="1" x14ac:dyDescent="0.25">
      <c r="D12" s="13">
        <v>42372</v>
      </c>
      <c r="E12" s="12" t="s">
        <v>1940</v>
      </c>
      <c r="F12" s="12">
        <v>865.6</v>
      </c>
      <c r="G12" s="10">
        <f t="shared" si="0"/>
        <v>5.2252861351233887E-2</v>
      </c>
      <c r="N12"/>
      <c r="O12"/>
      <c r="P12"/>
      <c r="Q12"/>
      <c r="R12"/>
    </row>
    <row r="13" spans="1:18" s="20" customFormat="1" x14ac:dyDescent="0.25">
      <c r="D13" s="13">
        <v>42372</v>
      </c>
      <c r="E13" s="12" t="s">
        <v>1941</v>
      </c>
      <c r="F13" s="12">
        <v>1252.4000000000001</v>
      </c>
      <c r="G13" s="10">
        <f t="shared" si="0"/>
        <v>7.5602453276669743E-2</v>
      </c>
      <c r="N13"/>
      <c r="O13"/>
      <c r="P13"/>
      <c r="Q13"/>
      <c r="R13"/>
    </row>
    <row r="14" spans="1:18" s="20" customFormat="1" x14ac:dyDescent="0.25">
      <c r="D14" s="13">
        <v>42372</v>
      </c>
      <c r="E14" s="12" t="s">
        <v>1943</v>
      </c>
      <c r="F14" s="12">
        <v>143.19999999999999</v>
      </c>
      <c r="G14" s="10">
        <f t="shared" si="0"/>
        <v>8.6444197614333317E-3</v>
      </c>
      <c r="N14"/>
      <c r="O14"/>
      <c r="P14"/>
      <c r="Q14"/>
      <c r="R14"/>
    </row>
    <row r="15" spans="1:18" s="20" customFormat="1" x14ac:dyDescent="0.25">
      <c r="D15" s="13">
        <v>42372</v>
      </c>
      <c r="E15" s="12" t="s">
        <v>1942</v>
      </c>
      <c r="F15" s="12">
        <v>832.4</v>
      </c>
      <c r="G15" s="10">
        <f t="shared" si="0"/>
        <v>5.0248708166320571E-2</v>
      </c>
      <c r="N15"/>
      <c r="O15"/>
      <c r="P15"/>
      <c r="Q15"/>
      <c r="R15"/>
    </row>
    <row r="16" spans="1:18" s="20" customFormat="1" x14ac:dyDescent="0.25">
      <c r="D16" s="13">
        <v>42372</v>
      </c>
      <c r="E16" s="12" t="s">
        <v>1940</v>
      </c>
      <c r="F16" s="12">
        <v>97.6</v>
      </c>
      <c r="G16" s="10">
        <f t="shared" si="0"/>
        <v>5.8917274351668516E-3</v>
      </c>
      <c r="N16"/>
      <c r="O16"/>
      <c r="P16"/>
      <c r="Q16"/>
      <c r="R16"/>
    </row>
    <row r="17" spans="4:18" s="20" customFormat="1" x14ac:dyDescent="0.25">
      <c r="D17" s="13">
        <v>42373</v>
      </c>
      <c r="E17" s="12" t="s">
        <v>1939</v>
      </c>
      <c r="F17" s="12">
        <v>119.6</v>
      </c>
      <c r="G17" s="10">
        <f t="shared" si="0"/>
        <v>7.2197807504708559E-3</v>
      </c>
      <c r="N17"/>
      <c r="O17"/>
      <c r="P17"/>
      <c r="Q17"/>
      <c r="R17"/>
    </row>
    <row r="18" spans="4:18" s="20" customFormat="1" x14ac:dyDescent="0.25">
      <c r="D18" s="13" t="s">
        <v>1944</v>
      </c>
      <c r="E18" s="12"/>
      <c r="F18" s="12"/>
      <c r="G18" s="10"/>
      <c r="N18"/>
      <c r="O18"/>
      <c r="P18"/>
      <c r="Q18"/>
      <c r="R18"/>
    </row>
    <row r="19" spans="4:18" s="20" customFormat="1" x14ac:dyDescent="0.25">
      <c r="D19" s="13">
        <v>42373</v>
      </c>
      <c r="E19" s="12" t="s">
        <v>1943</v>
      </c>
      <c r="F19" s="12">
        <v>238.4</v>
      </c>
      <c r="G19" s="10">
        <f t="shared" ref="G19:G32" si="1">F19/$F$33</f>
        <v>1.4391268653112476E-2</v>
      </c>
      <c r="N19"/>
      <c r="O19"/>
      <c r="P19"/>
      <c r="Q19"/>
      <c r="R19"/>
    </row>
    <row r="20" spans="4:18" s="20" customFormat="1" x14ac:dyDescent="0.25">
      <c r="D20" s="13">
        <v>42374</v>
      </c>
      <c r="E20" s="12" t="s">
        <v>1940</v>
      </c>
      <c r="F20" s="12">
        <v>1158</v>
      </c>
      <c r="G20" s="10">
        <f t="shared" si="1"/>
        <v>6.9903897232819825E-2</v>
      </c>
      <c r="N20"/>
      <c r="O20"/>
      <c r="P20"/>
      <c r="Q20"/>
      <c r="R20"/>
    </row>
    <row r="21" spans="4:18" s="20" customFormat="1" x14ac:dyDescent="0.25">
      <c r="D21" s="13">
        <v>42374</v>
      </c>
      <c r="E21" s="12" t="s">
        <v>1940</v>
      </c>
      <c r="F21" s="12">
        <v>544</v>
      </c>
      <c r="G21" s="10">
        <f t="shared" si="1"/>
        <v>3.2839136523880819E-2</v>
      </c>
      <c r="N21"/>
      <c r="O21"/>
      <c r="P21"/>
      <c r="Q21"/>
      <c r="R21"/>
    </row>
    <row r="22" spans="4:18" s="20" customFormat="1" x14ac:dyDescent="0.25">
      <c r="D22" s="13">
        <v>42376</v>
      </c>
      <c r="E22" s="12" t="s">
        <v>1942</v>
      </c>
      <c r="F22" s="12">
        <v>1244</v>
      </c>
      <c r="G22" s="10">
        <f t="shared" si="1"/>
        <v>7.5095378374462743E-2</v>
      </c>
      <c r="N22"/>
      <c r="O22"/>
      <c r="P22"/>
      <c r="Q22"/>
      <c r="R22"/>
    </row>
    <row r="23" spans="4:18" s="20" customFormat="1" x14ac:dyDescent="0.25">
      <c r="D23" s="13">
        <v>42376</v>
      </c>
      <c r="E23" s="12" t="s">
        <v>1940</v>
      </c>
      <c r="F23" s="12">
        <v>849.6</v>
      </c>
      <c r="G23" s="10">
        <f t="shared" si="1"/>
        <v>5.1287004394649158E-2</v>
      </c>
      <c r="N23"/>
      <c r="O23"/>
      <c r="P23"/>
      <c r="Q23"/>
      <c r="R23"/>
    </row>
    <row r="24" spans="4:18" s="20" customFormat="1" x14ac:dyDescent="0.25">
      <c r="D24" s="13">
        <v>42376</v>
      </c>
      <c r="E24" s="12" t="s">
        <v>1940</v>
      </c>
      <c r="F24" s="12">
        <v>94</v>
      </c>
      <c r="G24" s="10">
        <f t="shared" si="1"/>
        <v>5.6744096199352881E-3</v>
      </c>
      <c r="N24"/>
      <c r="O24"/>
      <c r="P24"/>
      <c r="Q24"/>
      <c r="R24"/>
    </row>
    <row r="25" spans="4:18" s="20" customFormat="1" x14ac:dyDescent="0.25">
      <c r="D25" s="13">
        <v>42376</v>
      </c>
      <c r="E25" s="12" t="s">
        <v>1943</v>
      </c>
      <c r="F25" s="12">
        <v>1310.8</v>
      </c>
      <c r="G25" s="10">
        <f t="shared" si="1"/>
        <v>7.9127831168203988E-2</v>
      </c>
      <c r="N25"/>
      <c r="O25"/>
      <c r="P25"/>
      <c r="Q25"/>
      <c r="R25"/>
    </row>
    <row r="26" spans="4:18" s="20" customFormat="1" x14ac:dyDescent="0.25">
      <c r="D26" s="13">
        <v>42378</v>
      </c>
      <c r="E26" s="12" t="s">
        <v>1942</v>
      </c>
      <c r="F26" s="12">
        <v>704</v>
      </c>
      <c r="G26" s="10">
        <f t="shared" si="1"/>
        <v>4.2497706089728117E-2</v>
      </c>
      <c r="N26"/>
      <c r="O26"/>
      <c r="P26"/>
      <c r="Q26"/>
      <c r="R26"/>
    </row>
    <row r="27" spans="4:18" s="20" customFormat="1" x14ac:dyDescent="0.25">
      <c r="D27" s="13">
        <v>42379</v>
      </c>
      <c r="E27" s="12" t="s">
        <v>1940</v>
      </c>
      <c r="F27" s="12">
        <v>214.4</v>
      </c>
      <c r="G27" s="10">
        <f t="shared" si="1"/>
        <v>1.2942483218235381E-2</v>
      </c>
      <c r="N27"/>
      <c r="O27"/>
      <c r="P27"/>
      <c r="Q27"/>
      <c r="R27"/>
    </row>
    <row r="28" spans="4:18" s="20" customFormat="1" x14ac:dyDescent="0.25">
      <c r="D28" s="13">
        <v>42380</v>
      </c>
      <c r="E28" s="12" t="s">
        <v>1939</v>
      </c>
      <c r="F28" s="12">
        <v>300.39999999999998</v>
      </c>
      <c r="G28" s="10">
        <f t="shared" si="1"/>
        <v>1.8133964359878303E-2</v>
      </c>
      <c r="N28"/>
      <c r="O28"/>
      <c r="P28"/>
      <c r="Q28"/>
      <c r="R28"/>
    </row>
    <row r="29" spans="4:18" s="20" customFormat="1" x14ac:dyDescent="0.25">
      <c r="D29" s="13">
        <v>42380</v>
      </c>
      <c r="E29" s="12" t="s">
        <v>1939</v>
      </c>
      <c r="F29" s="12">
        <v>144.80000000000001</v>
      </c>
      <c r="G29" s="10">
        <f t="shared" si="1"/>
        <v>8.7410054570918067E-3</v>
      </c>
      <c r="N29"/>
      <c r="O29"/>
      <c r="P29"/>
      <c r="Q29"/>
      <c r="R29"/>
    </row>
    <row r="30" spans="4:18" s="20" customFormat="1" x14ac:dyDescent="0.25">
      <c r="D30" s="13">
        <v>42380</v>
      </c>
      <c r="E30" s="12" t="s">
        <v>1943</v>
      </c>
      <c r="F30" s="12">
        <v>348.4</v>
      </c>
      <c r="G30" s="10">
        <f t="shared" si="1"/>
        <v>2.1031535229632491E-2</v>
      </c>
      <c r="N30"/>
      <c r="O30"/>
      <c r="P30"/>
      <c r="Q30"/>
      <c r="R30"/>
    </row>
    <row r="31" spans="4:18" s="20" customFormat="1" x14ac:dyDescent="0.25">
      <c r="D31" s="13">
        <v>42381</v>
      </c>
      <c r="E31" s="12" t="s">
        <v>1940</v>
      </c>
      <c r="F31" s="12">
        <v>390.4</v>
      </c>
      <c r="G31" s="10">
        <f t="shared" si="1"/>
        <v>2.3566909740667406E-2</v>
      </c>
      <c r="N31"/>
      <c r="O31"/>
      <c r="P31"/>
      <c r="Q31"/>
      <c r="R31"/>
    </row>
    <row r="32" spans="4:18" x14ac:dyDescent="0.25">
      <c r="D32" s="13">
        <v>42381</v>
      </c>
      <c r="E32" s="12" t="s">
        <v>1941</v>
      </c>
      <c r="F32" s="12">
        <v>1189.5999999999999</v>
      </c>
      <c r="G32" s="10">
        <f t="shared" si="1"/>
        <v>7.1811464722074655E-2</v>
      </c>
    </row>
    <row r="33" spans="5:6" x14ac:dyDescent="0.25">
      <c r="E33" s="12" t="s">
        <v>1945</v>
      </c>
      <c r="F33" s="12">
        <f>SUM(F5:F32)</f>
        <v>16565.599999999999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FD7FC-2158-4D88-BDFC-AE77C8F2CF7A}">
  <sheetPr>
    <tabColor theme="6"/>
  </sheetPr>
  <dimension ref="A1:R32"/>
  <sheetViews>
    <sheetView workbookViewId="0">
      <selection activeCell="D11" sqref="D11:F12"/>
    </sheetView>
  </sheetViews>
  <sheetFormatPr baseColWidth="10" defaultColWidth="11.42578125" defaultRowHeight="15.75" x14ac:dyDescent="0.25"/>
  <cols>
    <col min="1" max="1" width="80.140625" style="20" customWidth="1"/>
    <col min="2" max="2" width="11.42578125" style="20"/>
    <col min="3" max="3" width="9.85546875" style="20" customWidth="1"/>
    <col min="4" max="4" width="19.28515625" style="13" customWidth="1"/>
    <col min="5" max="5" width="22.140625" style="12" bestFit="1" customWidth="1"/>
    <col min="6" max="6" width="13.5703125" style="12" bestFit="1" customWidth="1"/>
    <col min="8" max="8" width="11.42578125" style="20" customWidth="1"/>
    <col min="9" max="12" width="11.42578125" style="20"/>
    <col min="13" max="13" width="42" style="20" customWidth="1"/>
  </cols>
  <sheetData>
    <row r="1" spans="1:18" s="21" customFormat="1" ht="73.5" customHeight="1" x14ac:dyDescent="0.25">
      <c r="A1" s="21" t="e" vm="1">
        <f>Variables!$A$1</f>
        <v>#VALUE!</v>
      </c>
    </row>
    <row r="2" spans="1:18" s="37" customFormat="1" ht="8.1" customHeight="1" x14ac:dyDescent="0.25"/>
    <row r="3" spans="1:18" s="20" customFormat="1" ht="21" x14ac:dyDescent="0.35">
      <c r="D3" s="40" t="s">
        <v>1934</v>
      </c>
      <c r="E3"/>
      <c r="F3"/>
      <c r="G3"/>
      <c r="N3"/>
      <c r="O3"/>
      <c r="P3"/>
      <c r="Q3"/>
      <c r="R3"/>
    </row>
    <row r="4" spans="1:18" s="20" customFormat="1" ht="18.75" x14ac:dyDescent="0.3">
      <c r="D4" s="14" t="s">
        <v>1935</v>
      </c>
      <c r="E4" s="15" t="s">
        <v>1936</v>
      </c>
      <c r="F4" s="15" t="s">
        <v>1937</v>
      </c>
      <c r="G4"/>
      <c r="N4"/>
      <c r="O4"/>
      <c r="P4"/>
      <c r="Q4"/>
      <c r="R4"/>
    </row>
    <row r="5" spans="1:18" s="20" customFormat="1" x14ac:dyDescent="0.25">
      <c r="D5" s="13">
        <v>42371</v>
      </c>
      <c r="E5" s="12" t="s">
        <v>1939</v>
      </c>
      <c r="F5" s="12">
        <v>943.6</v>
      </c>
      <c r="G5" s="10"/>
      <c r="N5"/>
      <c r="O5"/>
      <c r="P5"/>
      <c r="Q5"/>
      <c r="R5"/>
    </row>
    <row r="6" spans="1:18" s="20" customFormat="1" x14ac:dyDescent="0.25">
      <c r="D6" s="13">
        <v>42371</v>
      </c>
      <c r="E6" s="12" t="s">
        <v>1940</v>
      </c>
      <c r="F6" s="12">
        <v>299.60000000000002</v>
      </c>
      <c r="G6" s="10"/>
      <c r="N6"/>
      <c r="O6"/>
      <c r="P6"/>
      <c r="Q6"/>
      <c r="R6"/>
    </row>
    <row r="7" spans="1:18" s="20" customFormat="1" x14ac:dyDescent="0.25">
      <c r="D7" s="13">
        <v>42371</v>
      </c>
      <c r="E7" s="12" t="s">
        <v>1941</v>
      </c>
      <c r="F7" s="12">
        <v>463.6</v>
      </c>
      <c r="G7" s="10"/>
      <c r="N7"/>
      <c r="O7"/>
      <c r="P7"/>
      <c r="Q7"/>
      <c r="R7"/>
    </row>
    <row r="8" spans="1:18" s="20" customFormat="1" x14ac:dyDescent="0.25">
      <c r="D8" s="13">
        <v>42371</v>
      </c>
      <c r="E8" s="12" t="s">
        <v>1942</v>
      </c>
      <c r="F8" s="12">
        <v>471.6</v>
      </c>
      <c r="G8" s="10"/>
      <c r="N8"/>
      <c r="O8"/>
      <c r="P8"/>
      <c r="Q8"/>
      <c r="R8"/>
    </row>
    <row r="9" spans="1:18" s="20" customFormat="1" x14ac:dyDescent="0.25">
      <c r="D9" s="13">
        <v>42371</v>
      </c>
      <c r="E9" s="12" t="s">
        <v>1940</v>
      </c>
      <c r="F9" s="12">
        <v>181.2</v>
      </c>
      <c r="G9" s="10"/>
      <c r="N9"/>
      <c r="O9"/>
      <c r="P9"/>
      <c r="Q9"/>
      <c r="R9"/>
    </row>
    <row r="10" spans="1:18" s="20" customFormat="1" x14ac:dyDescent="0.25">
      <c r="D10" s="13">
        <v>42371</v>
      </c>
      <c r="E10" s="12" t="s">
        <v>1940</v>
      </c>
      <c r="F10" s="12">
        <v>1266.4000000000001</v>
      </c>
      <c r="G10" s="10"/>
      <c r="N10"/>
      <c r="O10"/>
      <c r="P10"/>
      <c r="Q10"/>
      <c r="R10"/>
    </row>
    <row r="11" spans="1:18" s="20" customFormat="1" x14ac:dyDescent="0.25">
      <c r="D11" s="13">
        <v>42371</v>
      </c>
      <c r="E11" s="12" t="s">
        <v>1940</v>
      </c>
      <c r="F11" s="12">
        <v>898</v>
      </c>
      <c r="G11" s="10"/>
      <c r="N11"/>
      <c r="O11"/>
      <c r="P11"/>
      <c r="Q11"/>
      <c r="R11"/>
    </row>
    <row r="12" spans="1:18" s="20" customFormat="1" x14ac:dyDescent="0.25">
      <c r="D12" s="13">
        <v>42372</v>
      </c>
      <c r="E12" s="12" t="s">
        <v>1940</v>
      </c>
      <c r="F12" s="12">
        <v>865.6</v>
      </c>
      <c r="G12" s="10"/>
      <c r="N12"/>
      <c r="O12"/>
      <c r="P12"/>
      <c r="Q12"/>
      <c r="R12"/>
    </row>
    <row r="13" spans="1:18" s="20" customFormat="1" x14ac:dyDescent="0.25">
      <c r="D13" s="13">
        <v>42372</v>
      </c>
      <c r="E13" s="12" t="s">
        <v>1941</v>
      </c>
      <c r="F13" s="12">
        <v>1252.4000000000001</v>
      </c>
      <c r="G13" s="10"/>
      <c r="N13"/>
      <c r="O13"/>
      <c r="P13"/>
      <c r="Q13"/>
      <c r="R13"/>
    </row>
    <row r="14" spans="1:18" s="20" customFormat="1" x14ac:dyDescent="0.25">
      <c r="D14" s="13">
        <v>42372</v>
      </c>
      <c r="E14" s="12" t="s">
        <v>1943</v>
      </c>
      <c r="F14" s="12">
        <v>143.19999999999999</v>
      </c>
      <c r="G14" s="10"/>
      <c r="N14"/>
      <c r="O14"/>
      <c r="P14"/>
      <c r="Q14"/>
      <c r="R14"/>
    </row>
    <row r="15" spans="1:18" s="20" customFormat="1" x14ac:dyDescent="0.25">
      <c r="D15" s="13">
        <v>42372</v>
      </c>
      <c r="E15" s="12" t="s">
        <v>1942</v>
      </c>
      <c r="F15" s="12">
        <v>832.4</v>
      </c>
      <c r="G15" s="10"/>
      <c r="N15"/>
      <c r="O15"/>
      <c r="P15"/>
      <c r="Q15"/>
      <c r="R15"/>
    </row>
    <row r="16" spans="1:18" s="20" customFormat="1" x14ac:dyDescent="0.25">
      <c r="D16" s="13">
        <v>42372</v>
      </c>
      <c r="E16" s="12" t="s">
        <v>1940</v>
      </c>
      <c r="F16" s="12">
        <v>97.6</v>
      </c>
      <c r="G16" s="10"/>
      <c r="N16"/>
      <c r="O16"/>
      <c r="P16"/>
      <c r="Q16"/>
      <c r="R16"/>
    </row>
    <row r="17" spans="4:18" s="20" customFormat="1" x14ac:dyDescent="0.25">
      <c r="D17" s="13">
        <v>42373</v>
      </c>
      <c r="E17" s="12" t="s">
        <v>1939</v>
      </c>
      <c r="F17" s="12">
        <v>119.6</v>
      </c>
      <c r="G17" s="10"/>
      <c r="N17"/>
      <c r="O17"/>
      <c r="P17"/>
      <c r="Q17"/>
      <c r="R17"/>
    </row>
    <row r="18" spans="4:18" s="20" customFormat="1" x14ac:dyDescent="0.25">
      <c r="D18" s="13" t="s">
        <v>1944</v>
      </c>
      <c r="E18" s="12"/>
      <c r="F18" s="12"/>
      <c r="G18" s="10"/>
      <c r="N18"/>
      <c r="O18"/>
      <c r="P18"/>
      <c r="Q18"/>
      <c r="R18"/>
    </row>
    <row r="19" spans="4:18" s="20" customFormat="1" x14ac:dyDescent="0.25">
      <c r="D19" s="13"/>
      <c r="E19" s="12"/>
      <c r="F19" s="12"/>
      <c r="G19" s="10"/>
      <c r="N19"/>
      <c r="O19"/>
      <c r="P19"/>
      <c r="Q19"/>
      <c r="R19"/>
    </row>
    <row r="20" spans="4:18" s="20" customFormat="1" x14ac:dyDescent="0.25">
      <c r="D20" s="13"/>
      <c r="E20" s="12"/>
      <c r="F20" s="12"/>
      <c r="G20" s="10"/>
      <c r="N20"/>
      <c r="O20"/>
      <c r="P20"/>
      <c r="Q20"/>
      <c r="R20"/>
    </row>
    <row r="21" spans="4:18" s="20" customFormat="1" x14ac:dyDescent="0.25">
      <c r="D21" s="13"/>
      <c r="E21" s="12"/>
      <c r="F21" s="12"/>
      <c r="G21" s="10"/>
      <c r="N21"/>
      <c r="O21"/>
      <c r="P21"/>
      <c r="Q21"/>
      <c r="R21"/>
    </row>
    <row r="22" spans="4:18" s="20" customFormat="1" x14ac:dyDescent="0.25">
      <c r="D22" s="13"/>
      <c r="E22" s="12"/>
      <c r="F22" s="12"/>
      <c r="G22" s="10"/>
      <c r="N22"/>
      <c r="O22"/>
      <c r="P22"/>
      <c r="Q22"/>
      <c r="R22"/>
    </row>
    <row r="23" spans="4:18" s="20" customFormat="1" x14ac:dyDescent="0.25">
      <c r="D23" s="13"/>
      <c r="E23" s="12"/>
      <c r="F23" s="12"/>
      <c r="G23" s="10"/>
      <c r="N23"/>
      <c r="O23"/>
      <c r="P23"/>
      <c r="Q23"/>
      <c r="R23"/>
    </row>
    <row r="24" spans="4:18" s="20" customFormat="1" x14ac:dyDescent="0.25">
      <c r="D24" s="13"/>
      <c r="E24" s="12"/>
      <c r="F24" s="12"/>
      <c r="G24" s="10"/>
      <c r="N24"/>
      <c r="O24"/>
      <c r="P24"/>
      <c r="Q24"/>
      <c r="R24"/>
    </row>
    <row r="25" spans="4:18" s="20" customFormat="1" x14ac:dyDescent="0.25">
      <c r="D25" s="13"/>
      <c r="E25" s="12"/>
      <c r="F25" s="12"/>
      <c r="G25" s="10"/>
      <c r="N25"/>
      <c r="O25"/>
      <c r="P25"/>
      <c r="Q25"/>
      <c r="R25"/>
    </row>
    <row r="26" spans="4:18" s="20" customFormat="1" x14ac:dyDescent="0.25">
      <c r="D26" s="13"/>
      <c r="E26" s="12"/>
      <c r="F26" s="12"/>
      <c r="G26" s="10"/>
      <c r="N26"/>
      <c r="O26"/>
      <c r="P26"/>
      <c r="Q26"/>
      <c r="R26"/>
    </row>
    <row r="27" spans="4:18" s="20" customFormat="1" x14ac:dyDescent="0.25">
      <c r="D27" s="13"/>
      <c r="E27" s="12"/>
      <c r="F27" s="12"/>
      <c r="G27" s="10"/>
      <c r="N27"/>
      <c r="O27"/>
      <c r="P27"/>
      <c r="Q27"/>
      <c r="R27"/>
    </row>
    <row r="28" spans="4:18" s="20" customFormat="1" x14ac:dyDescent="0.25">
      <c r="D28" s="13"/>
      <c r="E28" s="12"/>
      <c r="F28" s="12"/>
      <c r="G28" s="10"/>
      <c r="N28"/>
      <c r="O28"/>
      <c r="P28"/>
      <c r="Q28"/>
      <c r="R28"/>
    </row>
    <row r="29" spans="4:18" s="20" customFormat="1" x14ac:dyDescent="0.25">
      <c r="D29" s="13"/>
      <c r="E29" s="12"/>
      <c r="F29" s="12"/>
      <c r="G29" s="10"/>
      <c r="N29"/>
      <c r="O29"/>
      <c r="P29"/>
      <c r="Q29"/>
      <c r="R29"/>
    </row>
    <row r="30" spans="4:18" s="20" customFormat="1" x14ac:dyDescent="0.25">
      <c r="D30" s="13"/>
      <c r="E30" s="12"/>
      <c r="F30" s="12"/>
      <c r="G30" s="10"/>
      <c r="N30"/>
      <c r="O30"/>
      <c r="P30"/>
      <c r="Q30"/>
      <c r="R30"/>
    </row>
    <row r="31" spans="4:18" s="20" customFormat="1" x14ac:dyDescent="0.25">
      <c r="D31" s="13"/>
      <c r="E31" s="12"/>
      <c r="F31" s="12"/>
      <c r="G31" s="10"/>
      <c r="N31"/>
      <c r="O31"/>
      <c r="P31"/>
      <c r="Q31"/>
      <c r="R31"/>
    </row>
    <row r="32" spans="4:18" x14ac:dyDescent="0.25">
      <c r="G32" s="10"/>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2ADEB-F368-4DE1-BF73-C60811DDDE63}">
  <sheetPr>
    <tabColor theme="6"/>
  </sheetPr>
  <dimension ref="A1:S30"/>
  <sheetViews>
    <sheetView tabSelected="1" workbookViewId="0">
      <selection activeCell="I13" sqref="I13"/>
    </sheetView>
  </sheetViews>
  <sheetFormatPr baseColWidth="10" defaultColWidth="11.42578125" defaultRowHeight="15.75" x14ac:dyDescent="0.25"/>
  <cols>
    <col min="1" max="1" width="80.140625" style="20" customWidth="1"/>
    <col min="2" max="2" width="11.42578125" style="20"/>
    <col min="3" max="3" width="9.85546875" style="20" customWidth="1"/>
    <col min="4" max="4" width="19.28515625" style="13" customWidth="1"/>
    <col min="5" max="5" width="22.140625" style="12" bestFit="1" customWidth="1"/>
    <col min="6" max="6" width="13.5703125" style="12" bestFit="1" customWidth="1"/>
    <col min="8" max="8" width="15" customWidth="1"/>
    <col min="9" max="14" width="10.7109375" customWidth="1"/>
  </cols>
  <sheetData>
    <row r="1" spans="1:19" s="21" customFormat="1" ht="73.5" customHeight="1" x14ac:dyDescent="0.25">
      <c r="A1" s="21" t="e" vm="1">
        <f>Variables!$A$1</f>
        <v>#VALUE!</v>
      </c>
    </row>
    <row r="2" spans="1:19" s="37" customFormat="1" ht="8.1" customHeight="1" x14ac:dyDescent="0.25">
      <c r="D2" s="38"/>
      <c r="E2" s="39"/>
      <c r="F2" s="39"/>
    </row>
    <row r="3" spans="1:19" s="20" customFormat="1" ht="19.5" thickBot="1" x14ac:dyDescent="0.35">
      <c r="D3" s="30" t="s">
        <v>1935</v>
      </c>
      <c r="E3" s="32" t="s">
        <v>1946</v>
      </c>
      <c r="F3" s="34" t="s">
        <v>1947</v>
      </c>
      <c r="G3"/>
      <c r="H3"/>
      <c r="I3"/>
      <c r="J3"/>
      <c r="K3"/>
      <c r="L3"/>
      <c r="M3"/>
      <c r="N3"/>
      <c r="O3"/>
      <c r="P3"/>
      <c r="Q3"/>
      <c r="R3"/>
      <c r="S3"/>
    </row>
    <row r="4" spans="1:19" s="20" customFormat="1" x14ac:dyDescent="0.25">
      <c r="D4" s="31">
        <v>42371</v>
      </c>
      <c r="E4" s="33" t="s">
        <v>1948</v>
      </c>
      <c r="F4" s="35">
        <v>100</v>
      </c>
      <c r="G4" s="10"/>
      <c r="H4" s="22" t="s">
        <v>1949</v>
      </c>
      <c r="I4" s="23"/>
      <c r="J4" s="23"/>
      <c r="K4" s="23"/>
      <c r="L4" s="23"/>
      <c r="M4" s="23"/>
      <c r="N4" s="24"/>
      <c r="O4"/>
      <c r="P4"/>
      <c r="Q4"/>
      <c r="R4"/>
      <c r="S4"/>
    </row>
    <row r="5" spans="1:19" s="20" customFormat="1" ht="16.5" thickBot="1" x14ac:dyDescent="0.3">
      <c r="D5" s="31"/>
      <c r="E5" s="33"/>
      <c r="F5" s="35"/>
      <c r="G5" s="10"/>
      <c r="H5" s="25" t="s">
        <v>1950</v>
      </c>
      <c r="I5" s="26"/>
      <c r="J5" s="26"/>
      <c r="K5" s="26"/>
      <c r="L5" s="26"/>
      <c r="M5" s="26"/>
      <c r="N5" s="27"/>
      <c r="O5"/>
      <c r="P5"/>
      <c r="Q5"/>
      <c r="R5"/>
      <c r="S5"/>
    </row>
    <row r="6" spans="1:19" s="20" customFormat="1" x14ac:dyDescent="0.25">
      <c r="D6" s="31"/>
      <c r="E6" s="33"/>
      <c r="F6" s="35"/>
      <c r="G6" s="10"/>
      <c r="H6"/>
      <c r="I6"/>
      <c r="J6"/>
      <c r="K6"/>
      <c r="L6"/>
      <c r="M6"/>
      <c r="N6"/>
      <c r="O6"/>
      <c r="P6"/>
      <c r="Q6"/>
      <c r="R6"/>
      <c r="S6"/>
    </row>
    <row r="7" spans="1:19" s="20" customFormat="1" ht="16.5" thickBot="1" x14ac:dyDescent="0.3">
      <c r="D7" s="31"/>
      <c r="E7" s="33"/>
      <c r="F7" s="35"/>
      <c r="G7" s="10"/>
      <c r="H7"/>
      <c r="I7"/>
      <c r="J7"/>
      <c r="K7"/>
      <c r="L7"/>
      <c r="M7"/>
      <c r="N7"/>
      <c r="O7"/>
      <c r="P7"/>
      <c r="Q7"/>
      <c r="R7"/>
      <c r="S7"/>
    </row>
    <row r="8" spans="1:19" s="20" customFormat="1" x14ac:dyDescent="0.25">
      <c r="D8" s="31"/>
      <c r="E8" s="33"/>
      <c r="F8" s="35"/>
      <c r="G8" s="10"/>
      <c r="H8" s="22" t="s">
        <v>1951</v>
      </c>
      <c r="I8" s="23"/>
      <c r="J8" s="23"/>
      <c r="K8" s="23"/>
      <c r="L8" s="23"/>
      <c r="M8" s="23"/>
      <c r="N8" s="24"/>
      <c r="O8" s="23"/>
      <c r="P8" s="23"/>
      <c r="Q8" s="23"/>
      <c r="R8" s="23"/>
      <c r="S8" s="23"/>
    </row>
    <row r="9" spans="1:19" s="20" customFormat="1" x14ac:dyDescent="0.25">
      <c r="D9" s="31"/>
      <c r="E9" s="33"/>
      <c r="F9" s="35"/>
      <c r="G9" s="10"/>
      <c r="H9" s="28" t="s">
        <v>1952</v>
      </c>
      <c r="S9" s="29"/>
    </row>
    <row r="10" spans="1:19" s="20" customFormat="1" ht="16.5" thickBot="1" x14ac:dyDescent="0.3">
      <c r="D10" s="31"/>
      <c r="E10" s="33"/>
      <c r="F10" s="35"/>
      <c r="G10" s="10"/>
      <c r="H10" s="25" t="s">
        <v>1953</v>
      </c>
      <c r="I10" s="26"/>
      <c r="J10" s="26"/>
      <c r="K10" s="26"/>
      <c r="L10" s="26"/>
      <c r="M10" s="26"/>
      <c r="N10" s="26"/>
      <c r="O10" s="26"/>
      <c r="P10" s="26"/>
      <c r="Q10" s="26"/>
      <c r="R10" s="26"/>
      <c r="S10" s="27"/>
    </row>
    <row r="11" spans="1:19" s="20" customFormat="1" x14ac:dyDescent="0.25">
      <c r="D11" s="31"/>
      <c r="E11" s="33"/>
      <c r="F11" s="35"/>
      <c r="G11" s="10"/>
      <c r="H11"/>
      <c r="I11"/>
      <c r="J11"/>
      <c r="K11"/>
      <c r="L11"/>
      <c r="M11"/>
      <c r="N11"/>
      <c r="O11"/>
      <c r="P11"/>
      <c r="Q11"/>
      <c r="R11"/>
      <c r="S11"/>
    </row>
    <row r="12" spans="1:19" s="20" customFormat="1" x14ac:dyDescent="0.25">
      <c r="D12" s="31"/>
      <c r="E12" s="33"/>
      <c r="F12" s="35"/>
      <c r="G12" s="10"/>
      <c r="H12"/>
      <c r="I12"/>
      <c r="J12"/>
      <c r="K12"/>
      <c r="L12"/>
      <c r="M12"/>
      <c r="N12"/>
      <c r="O12"/>
      <c r="P12"/>
      <c r="Q12"/>
      <c r="R12"/>
      <c r="S12"/>
    </row>
    <row r="13" spans="1:19" s="20" customFormat="1" x14ac:dyDescent="0.25">
      <c r="D13" s="31"/>
      <c r="E13" s="33"/>
      <c r="F13" s="35"/>
      <c r="G13" s="10"/>
      <c r="H13" t="s">
        <v>1954</v>
      </c>
      <c r="I13"/>
      <c r="J13"/>
      <c r="K13"/>
      <c r="L13"/>
      <c r="M13"/>
      <c r="N13"/>
      <c r="O13"/>
      <c r="P13"/>
      <c r="Q13"/>
      <c r="R13"/>
      <c r="S13"/>
    </row>
    <row r="14" spans="1:19" s="20" customFormat="1" x14ac:dyDescent="0.25">
      <c r="D14" s="31"/>
      <c r="E14" s="33"/>
      <c r="F14" s="35"/>
      <c r="G14" s="10"/>
      <c r="H14" t="s">
        <v>1955</v>
      </c>
      <c r="I14"/>
      <c r="J14"/>
      <c r="K14"/>
      <c r="L14"/>
      <c r="M14"/>
      <c r="N14"/>
      <c r="O14"/>
      <c r="P14"/>
      <c r="Q14"/>
      <c r="R14"/>
      <c r="S14"/>
    </row>
    <row r="15" spans="1:19" s="20" customFormat="1" x14ac:dyDescent="0.25">
      <c r="D15" s="31"/>
      <c r="E15" s="33"/>
      <c r="F15" s="35"/>
      <c r="G15" s="10"/>
      <c r="H15" t="s">
        <v>1956</v>
      </c>
      <c r="I15"/>
      <c r="J15"/>
      <c r="K15"/>
      <c r="L15"/>
      <c r="M15"/>
      <c r="N15"/>
      <c r="O15"/>
      <c r="P15"/>
      <c r="Q15"/>
      <c r="R15"/>
      <c r="S15"/>
    </row>
    <row r="16" spans="1:19" s="20" customFormat="1" x14ac:dyDescent="0.25">
      <c r="D16" s="31"/>
      <c r="E16" s="33"/>
      <c r="F16" s="35"/>
      <c r="G16" s="10"/>
      <c r="H16" t="s">
        <v>1957</v>
      </c>
      <c r="I16"/>
      <c r="J16"/>
      <c r="K16"/>
      <c r="L16"/>
      <c r="M16"/>
      <c r="N16"/>
      <c r="O16"/>
      <c r="P16"/>
      <c r="Q16"/>
      <c r="R16"/>
      <c r="S16"/>
    </row>
    <row r="17" spans="4:19" s="20" customFormat="1" x14ac:dyDescent="0.25">
      <c r="D17" s="31"/>
      <c r="E17" s="33"/>
      <c r="F17" s="35"/>
      <c r="G17" s="10"/>
      <c r="H17" t="s">
        <v>1958</v>
      </c>
      <c r="I17"/>
      <c r="J17"/>
      <c r="K17"/>
      <c r="L17"/>
      <c r="M17"/>
      <c r="N17"/>
      <c r="O17"/>
      <c r="P17"/>
      <c r="Q17"/>
      <c r="R17"/>
      <c r="S17"/>
    </row>
    <row r="18" spans="4:19" s="20" customFormat="1" x14ac:dyDescent="0.25">
      <c r="D18" s="31"/>
      <c r="E18" s="33"/>
      <c r="F18" s="35"/>
      <c r="G18" s="10"/>
      <c r="H18" t="s">
        <v>1959</v>
      </c>
      <c r="I18"/>
      <c r="J18"/>
      <c r="K18"/>
      <c r="L18"/>
      <c r="M18"/>
      <c r="N18"/>
      <c r="O18"/>
      <c r="P18"/>
      <c r="Q18"/>
      <c r="R18"/>
      <c r="S18"/>
    </row>
    <row r="19" spans="4:19" s="20" customFormat="1" x14ac:dyDescent="0.25">
      <c r="D19" s="31"/>
      <c r="E19" s="33"/>
      <c r="F19" s="35"/>
      <c r="G19" s="10"/>
      <c r="H19" t="s">
        <v>1960</v>
      </c>
      <c r="I19"/>
      <c r="J19"/>
      <c r="K19"/>
      <c r="L19"/>
      <c r="M19"/>
      <c r="N19"/>
      <c r="O19"/>
      <c r="P19"/>
      <c r="Q19"/>
      <c r="R19"/>
      <c r="S19"/>
    </row>
    <row r="20" spans="4:19" s="20" customFormat="1" x14ac:dyDescent="0.25">
      <c r="D20" s="31"/>
      <c r="E20" s="33"/>
      <c r="F20" s="35"/>
      <c r="G20" s="10"/>
      <c r="H20" t="s">
        <v>1961</v>
      </c>
      <c r="I20"/>
      <c r="J20"/>
      <c r="K20"/>
      <c r="L20"/>
      <c r="M20"/>
      <c r="N20"/>
      <c r="O20"/>
      <c r="P20"/>
      <c r="Q20"/>
      <c r="R20"/>
      <c r="S20"/>
    </row>
    <row r="21" spans="4:19" s="20" customFormat="1" x14ac:dyDescent="0.25">
      <c r="D21" s="31"/>
      <c r="E21" s="33"/>
      <c r="F21" s="35"/>
      <c r="G21" s="10"/>
      <c r="H21"/>
      <c r="I21"/>
      <c r="J21"/>
      <c r="K21"/>
      <c r="L21"/>
      <c r="M21"/>
      <c r="N21"/>
      <c r="O21"/>
      <c r="P21"/>
      <c r="Q21"/>
      <c r="R21"/>
      <c r="S21"/>
    </row>
    <row r="22" spans="4:19" s="20" customFormat="1" x14ac:dyDescent="0.25">
      <c r="D22" s="31"/>
      <c r="E22" s="33"/>
      <c r="F22" s="35"/>
      <c r="G22" s="10"/>
      <c r="H22"/>
      <c r="I22"/>
      <c r="J22"/>
      <c r="K22"/>
      <c r="L22"/>
      <c r="M22"/>
      <c r="N22"/>
      <c r="O22"/>
      <c r="P22"/>
      <c r="Q22"/>
      <c r="R22"/>
      <c r="S22"/>
    </row>
    <row r="23" spans="4:19" s="20" customFormat="1" x14ac:dyDescent="0.25">
      <c r="D23" s="31"/>
      <c r="E23" s="33"/>
      <c r="F23" s="35"/>
      <c r="G23" s="10"/>
      <c r="H23"/>
      <c r="I23"/>
      <c r="J23"/>
      <c r="K23"/>
      <c r="L23"/>
      <c r="M23"/>
      <c r="N23"/>
      <c r="O23"/>
      <c r="P23"/>
      <c r="Q23"/>
      <c r="R23"/>
      <c r="S23"/>
    </row>
    <row r="24" spans="4:19" s="20" customFormat="1" x14ac:dyDescent="0.25">
      <c r="D24" s="31"/>
      <c r="E24" s="33"/>
      <c r="F24" s="35"/>
      <c r="G24" s="10"/>
      <c r="H24"/>
      <c r="I24"/>
      <c r="J24"/>
      <c r="K24"/>
      <c r="L24"/>
      <c r="M24"/>
      <c r="N24"/>
      <c r="O24"/>
      <c r="P24"/>
      <c r="Q24"/>
      <c r="R24"/>
      <c r="S24"/>
    </row>
    <row r="25" spans="4:19" s="20" customFormat="1" x14ac:dyDescent="0.25">
      <c r="D25" s="31"/>
      <c r="E25" s="33"/>
      <c r="F25" s="35"/>
      <c r="G25" s="10"/>
      <c r="H25"/>
      <c r="I25"/>
      <c r="J25"/>
      <c r="K25"/>
      <c r="L25"/>
      <c r="M25"/>
      <c r="N25"/>
      <c r="O25"/>
      <c r="P25"/>
      <c r="Q25"/>
      <c r="R25"/>
      <c r="S25"/>
    </row>
    <row r="26" spans="4:19" s="20" customFormat="1" x14ac:dyDescent="0.25">
      <c r="D26" s="31"/>
      <c r="E26" s="33"/>
      <c r="F26" s="35"/>
      <c r="G26" s="10"/>
      <c r="H26"/>
      <c r="I26"/>
      <c r="J26"/>
      <c r="K26"/>
      <c r="L26"/>
      <c r="M26"/>
      <c r="N26"/>
      <c r="O26"/>
      <c r="P26"/>
      <c r="Q26"/>
      <c r="R26"/>
      <c r="S26"/>
    </row>
    <row r="27" spans="4:19" s="20" customFormat="1" x14ac:dyDescent="0.25">
      <c r="D27" s="31"/>
      <c r="E27" s="33"/>
      <c r="F27" s="35"/>
      <c r="G27" s="10"/>
      <c r="H27"/>
      <c r="I27"/>
      <c r="J27"/>
      <c r="K27"/>
      <c r="L27"/>
      <c r="M27"/>
      <c r="N27"/>
      <c r="O27"/>
      <c r="P27"/>
      <c r="Q27"/>
      <c r="R27"/>
      <c r="S27"/>
    </row>
    <row r="28" spans="4:19" s="20" customFormat="1" x14ac:dyDescent="0.25">
      <c r="D28" s="13"/>
      <c r="E28" s="12"/>
      <c r="F28" s="12"/>
      <c r="G28" s="10"/>
      <c r="H28"/>
      <c r="I28"/>
      <c r="J28"/>
      <c r="K28"/>
      <c r="L28"/>
      <c r="M28"/>
      <c r="N28"/>
      <c r="O28"/>
      <c r="P28"/>
      <c r="Q28"/>
      <c r="R28"/>
      <c r="S28"/>
    </row>
    <row r="29" spans="4:19" s="20" customFormat="1" x14ac:dyDescent="0.25">
      <c r="D29" s="13"/>
      <c r="E29" s="12"/>
      <c r="F29" s="12"/>
      <c r="G29" s="10"/>
      <c r="H29"/>
      <c r="I29"/>
      <c r="J29"/>
      <c r="K29"/>
      <c r="L29"/>
      <c r="M29"/>
      <c r="N29"/>
      <c r="O29"/>
      <c r="P29"/>
      <c r="Q29"/>
      <c r="R29"/>
      <c r="S29"/>
    </row>
    <row r="30" spans="4:19" s="20" customFormat="1" x14ac:dyDescent="0.25">
      <c r="D30" s="13"/>
      <c r="E30" s="12"/>
      <c r="F30" s="12"/>
      <c r="G30" s="10"/>
      <c r="H30"/>
      <c r="I30"/>
      <c r="J30"/>
      <c r="K30"/>
      <c r="L30"/>
      <c r="M30"/>
      <c r="N30"/>
      <c r="O30"/>
      <c r="P30"/>
      <c r="Q30"/>
      <c r="R30"/>
      <c r="S30"/>
    </row>
  </sheetData>
  <phoneticPr fontId="2" type="noConversion"/>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25502-9E52-4561-8D2E-EA048FBE4267}">
  <sheetPr>
    <tabColor theme="6"/>
  </sheetPr>
  <dimension ref="A1:S29"/>
  <sheetViews>
    <sheetView workbookViewId="0">
      <selection activeCell="L33" sqref="L33"/>
    </sheetView>
  </sheetViews>
  <sheetFormatPr baseColWidth="10" defaultColWidth="9.140625" defaultRowHeight="15" x14ac:dyDescent="0.25"/>
  <cols>
    <col min="1" max="1" width="72.5703125" customWidth="1"/>
    <col min="4" max="9" width="9.5703125" customWidth="1"/>
    <col min="10" max="10" width="14" customWidth="1"/>
    <col min="12" max="12" width="8.85546875" style="2" bestFit="1" customWidth="1"/>
    <col min="17" max="17" width="18.140625" bestFit="1" customWidth="1"/>
  </cols>
  <sheetData>
    <row r="1" spans="1:19" s="21" customFormat="1" ht="73.5" customHeight="1" x14ac:dyDescent="0.25">
      <c r="A1" s="46" t="e" vm="1">
        <f>Variables!A1</f>
        <v>#VALUE!</v>
      </c>
      <c r="B1" s="46"/>
      <c r="C1" s="46"/>
      <c r="D1" s="46"/>
      <c r="E1" s="46"/>
      <c r="F1" s="46"/>
      <c r="G1" s="46"/>
      <c r="H1" s="46"/>
      <c r="I1" s="46"/>
      <c r="J1" s="46"/>
      <c r="K1" s="46"/>
      <c r="L1" s="46"/>
      <c r="M1" s="46"/>
      <c r="N1" s="46"/>
      <c r="O1" s="46"/>
      <c r="P1" s="46"/>
      <c r="Q1" s="46"/>
      <c r="R1" s="46"/>
      <c r="S1" s="46"/>
    </row>
    <row r="2" spans="1:19" s="37" customFormat="1" ht="8.1" customHeight="1" x14ac:dyDescent="0.25">
      <c r="D2" s="38"/>
      <c r="E2" s="39"/>
      <c r="F2" s="39"/>
    </row>
    <row r="4" spans="1:19" ht="40.5" customHeight="1" thickBot="1" x14ac:dyDescent="0.75">
      <c r="D4" s="52">
        <v>2024</v>
      </c>
      <c r="E4" s="52"/>
      <c r="F4" s="52"/>
      <c r="G4" s="52"/>
      <c r="H4" s="52"/>
      <c r="I4" s="52"/>
      <c r="J4" s="52"/>
      <c r="K4" s="5"/>
    </row>
    <row r="5" spans="1:19" ht="47.25" thickBot="1" x14ac:dyDescent="0.75">
      <c r="D5" s="53" t="s">
        <v>1962</v>
      </c>
      <c r="E5" s="54"/>
      <c r="F5" s="55"/>
      <c r="G5" s="53" t="s">
        <v>1963</v>
      </c>
      <c r="H5" s="56"/>
      <c r="I5" s="56"/>
      <c r="J5" s="56"/>
    </row>
    <row r="6" spans="1:19" x14ac:dyDescent="0.25">
      <c r="D6" s="8" t="s">
        <v>1964</v>
      </c>
      <c r="E6" s="8" t="s">
        <v>1965</v>
      </c>
      <c r="F6" s="9" t="s">
        <v>1966</v>
      </c>
      <c r="G6" s="8" t="s">
        <v>1967</v>
      </c>
      <c r="H6" s="8" t="s">
        <v>1968</v>
      </c>
      <c r="I6" s="16" t="s">
        <v>1969</v>
      </c>
      <c r="J6" s="17"/>
    </row>
    <row r="7" spans="1:19" x14ac:dyDescent="0.25">
      <c r="D7">
        <v>510</v>
      </c>
      <c r="E7">
        <v>380</v>
      </c>
      <c r="F7">
        <v>480</v>
      </c>
    </row>
    <row r="8" spans="1:19" x14ac:dyDescent="0.25">
      <c r="D8">
        <v>920</v>
      </c>
      <c r="E8">
        <v>320</v>
      </c>
      <c r="F8">
        <v>280</v>
      </c>
    </row>
    <row r="9" spans="1:19" x14ac:dyDescent="0.25">
      <c r="D9">
        <v>740</v>
      </c>
      <c r="E9">
        <v>670</v>
      </c>
      <c r="F9">
        <v>790</v>
      </c>
    </row>
    <row r="10" spans="1:19" x14ac:dyDescent="0.25">
      <c r="D10">
        <v>410</v>
      </c>
      <c r="E10">
        <v>190</v>
      </c>
      <c r="F10">
        <v>130</v>
      </c>
    </row>
    <row r="11" spans="1:19" x14ac:dyDescent="0.25">
      <c r="D11">
        <v>400</v>
      </c>
      <c r="E11">
        <v>950</v>
      </c>
      <c r="F11">
        <v>740</v>
      </c>
    </row>
    <row r="12" spans="1:19" x14ac:dyDescent="0.25">
      <c r="D12">
        <v>500</v>
      </c>
      <c r="E12">
        <v>850</v>
      </c>
      <c r="F12">
        <v>890</v>
      </c>
    </row>
    <row r="13" spans="1:19" x14ac:dyDescent="0.25">
      <c r="D13">
        <v>270</v>
      </c>
      <c r="E13">
        <v>680</v>
      </c>
      <c r="F13">
        <v>220</v>
      </c>
    </row>
    <row r="14" spans="1:19" x14ac:dyDescent="0.25">
      <c r="D14">
        <v>420</v>
      </c>
      <c r="E14">
        <v>700</v>
      </c>
      <c r="F14">
        <v>190</v>
      </c>
    </row>
    <row r="15" spans="1:19" x14ac:dyDescent="0.25">
      <c r="D15">
        <v>630</v>
      </c>
      <c r="E15">
        <v>710</v>
      </c>
      <c r="F15">
        <v>490</v>
      </c>
    </row>
    <row r="16" spans="1:19" x14ac:dyDescent="0.25">
      <c r="D16">
        <v>240</v>
      </c>
      <c r="E16">
        <v>790</v>
      </c>
      <c r="F16">
        <v>170</v>
      </c>
    </row>
    <row r="17" spans="4:19" x14ac:dyDescent="0.25">
      <c r="D17">
        <v>920</v>
      </c>
      <c r="E17">
        <v>220</v>
      </c>
      <c r="F17">
        <v>330</v>
      </c>
    </row>
    <row r="18" spans="4:19" s="2" customFormat="1" x14ac:dyDescent="0.25">
      <c r="D18">
        <v>210</v>
      </c>
      <c r="E18">
        <v>820</v>
      </c>
      <c r="F18">
        <v>540</v>
      </c>
      <c r="G18"/>
      <c r="H18"/>
      <c r="I18"/>
      <c r="J18"/>
      <c r="K18"/>
      <c r="M18"/>
      <c r="N18"/>
      <c r="O18"/>
      <c r="P18"/>
      <c r="Q18"/>
      <c r="R18"/>
      <c r="S18"/>
    </row>
    <row r="19" spans="4:19" s="2" customFormat="1" x14ac:dyDescent="0.25">
      <c r="D19">
        <v>720</v>
      </c>
      <c r="E19">
        <v>740</v>
      </c>
      <c r="F19">
        <v>480</v>
      </c>
      <c r="G19"/>
      <c r="H19"/>
      <c r="I19"/>
      <c r="J19"/>
      <c r="K19"/>
      <c r="M19"/>
      <c r="N19"/>
      <c r="O19"/>
      <c r="P19"/>
      <c r="Q19"/>
      <c r="R19"/>
      <c r="S19"/>
    </row>
    <row r="20" spans="4:19" s="2" customFormat="1" x14ac:dyDescent="0.25">
      <c r="D20">
        <v>390</v>
      </c>
      <c r="E20">
        <v>1000</v>
      </c>
      <c r="F20">
        <v>740</v>
      </c>
      <c r="G20"/>
      <c r="H20"/>
      <c r="I20"/>
      <c r="J20"/>
      <c r="K20"/>
      <c r="M20"/>
      <c r="N20"/>
      <c r="O20"/>
      <c r="P20"/>
      <c r="Q20"/>
      <c r="R20"/>
      <c r="S20"/>
    </row>
    <row r="21" spans="4:19" s="2" customFormat="1" x14ac:dyDescent="0.25">
      <c r="D21">
        <v>890</v>
      </c>
      <c r="E21">
        <v>130</v>
      </c>
      <c r="F21">
        <v>860</v>
      </c>
      <c r="G21"/>
      <c r="H21"/>
      <c r="I21"/>
      <c r="J21"/>
      <c r="K21"/>
      <c r="M21"/>
      <c r="N21"/>
      <c r="O21"/>
      <c r="P21"/>
      <c r="Q21"/>
      <c r="R21"/>
      <c r="S21"/>
    </row>
    <row r="22" spans="4:19" s="2" customFormat="1" x14ac:dyDescent="0.25">
      <c r="D22"/>
      <c r="E22"/>
      <c r="F22"/>
      <c r="G22"/>
      <c r="H22"/>
      <c r="I22" s="3"/>
      <c r="J22" s="4"/>
      <c r="M22"/>
      <c r="N22"/>
      <c r="O22"/>
      <c r="P22"/>
      <c r="Q22"/>
      <c r="R22"/>
      <c r="S22"/>
    </row>
    <row r="23" spans="4:19" s="2" customFormat="1" x14ac:dyDescent="0.25">
      <c r="D23"/>
      <c r="E23"/>
      <c r="F23"/>
      <c r="G23"/>
      <c r="H23"/>
      <c r="I23" s="3"/>
      <c r="J23" s="4"/>
      <c r="K23"/>
      <c r="M23"/>
      <c r="N23"/>
      <c r="O23"/>
      <c r="P23"/>
      <c r="Q23"/>
      <c r="R23"/>
      <c r="S23"/>
    </row>
    <row r="24" spans="4:19" s="2" customFormat="1" x14ac:dyDescent="0.25">
      <c r="D24"/>
      <c r="E24"/>
      <c r="F24"/>
      <c r="G24"/>
      <c r="H24"/>
      <c r="I24" s="3"/>
      <c r="J24" s="10"/>
      <c r="K24"/>
      <c r="M24"/>
      <c r="N24"/>
      <c r="O24"/>
      <c r="P24"/>
      <c r="Q24"/>
      <c r="R24"/>
      <c r="S24"/>
    </row>
    <row r="25" spans="4:19" s="2" customFormat="1" x14ac:dyDescent="0.25">
      <c r="D25"/>
      <c r="E25"/>
      <c r="F25"/>
      <c r="G25"/>
      <c r="H25"/>
      <c r="I25" s="3"/>
      <c r="J25" s="4"/>
      <c r="K25"/>
      <c r="M25"/>
      <c r="N25"/>
      <c r="O25"/>
      <c r="P25"/>
      <c r="Q25"/>
      <c r="R25"/>
      <c r="S25"/>
    </row>
    <row r="26" spans="4:19" s="2" customFormat="1" x14ac:dyDescent="0.25">
      <c r="D26"/>
      <c r="E26"/>
      <c r="F26"/>
      <c r="G26"/>
      <c r="H26"/>
      <c r="I26" s="3"/>
      <c r="J26" s="4"/>
      <c r="K26"/>
      <c r="M26"/>
      <c r="N26"/>
      <c r="O26"/>
      <c r="P26"/>
      <c r="Q26"/>
      <c r="R26"/>
      <c r="S26"/>
    </row>
    <row r="27" spans="4:19" s="2" customFormat="1" x14ac:dyDescent="0.25">
      <c r="D27"/>
      <c r="E27"/>
      <c r="F27"/>
      <c r="G27"/>
      <c r="H27"/>
      <c r="I27" s="3"/>
      <c r="J27" s="4"/>
      <c r="K27"/>
      <c r="M27"/>
      <c r="N27"/>
      <c r="O27"/>
      <c r="P27"/>
      <c r="Q27"/>
      <c r="R27"/>
      <c r="S27"/>
    </row>
    <row r="28" spans="4:19" s="2" customFormat="1" x14ac:dyDescent="0.25">
      <c r="D28"/>
      <c r="E28"/>
      <c r="F28"/>
      <c r="G28"/>
      <c r="H28"/>
      <c r="I28" s="3"/>
      <c r="J28" s="4"/>
      <c r="K28"/>
      <c r="M28"/>
      <c r="N28"/>
      <c r="O28"/>
      <c r="P28"/>
      <c r="Q28"/>
      <c r="R28"/>
      <c r="S28"/>
    </row>
    <row r="29" spans="4:19" x14ac:dyDescent="0.25">
      <c r="I29" s="3"/>
      <c r="J29" s="4"/>
    </row>
  </sheetData>
  <mergeCells count="3">
    <mergeCell ref="D4:J4"/>
    <mergeCell ref="D5:F5"/>
    <mergeCell ref="G5:J5"/>
  </mergeCells>
  <pageMargins left="0.7" right="0.7" top="0.75" bottom="0.75" header="0.3" footer="0.3"/>
  <pageSetup paperSize="9" orientation="portrait" horizontalDpi="4294967293"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A9CD4-5DD8-458F-A1E0-4FC5E2C705D5}">
  <sheetPr>
    <tabColor theme="8"/>
  </sheetPr>
  <dimension ref="A1:Q57"/>
  <sheetViews>
    <sheetView workbookViewId="0">
      <selection activeCell="F29" sqref="F29"/>
    </sheetView>
  </sheetViews>
  <sheetFormatPr baseColWidth="10" defaultColWidth="9.140625" defaultRowHeight="15" x14ac:dyDescent="0.25"/>
  <cols>
    <col min="1" max="1" width="19.140625" customWidth="1"/>
    <col min="5" max="5" width="16.28515625" customWidth="1"/>
    <col min="6" max="6" width="16.85546875" customWidth="1"/>
    <col min="7" max="7" width="16.28515625" bestFit="1" customWidth="1"/>
    <col min="8" max="9" width="11" customWidth="1"/>
    <col min="14" max="14" width="12.28515625" customWidth="1"/>
  </cols>
  <sheetData>
    <row r="1" spans="1:17" s="21" customFormat="1" ht="73.5" customHeight="1" x14ac:dyDescent="0.25">
      <c r="A1" s="21" t="e" vm="1">
        <f>Variables!$A$1</f>
        <v>#VALUE!</v>
      </c>
      <c r="G1" s="41"/>
    </row>
    <row r="2" spans="1:17" s="37" customFormat="1" ht="8.1" customHeight="1" x14ac:dyDescent="0.25">
      <c r="G2" s="42"/>
    </row>
    <row r="3" spans="1:17" ht="15.75" thickBot="1" x14ac:dyDescent="0.3"/>
    <row r="4" spans="1:17" ht="16.5" thickTop="1" thickBot="1" x14ac:dyDescent="0.3">
      <c r="K4" s="57" t="s">
        <v>2009</v>
      </c>
      <c r="L4" s="58"/>
      <c r="M4" s="58"/>
      <c r="N4" s="58"/>
      <c r="O4" s="58"/>
      <c r="P4" s="58"/>
      <c r="Q4" s="59"/>
    </row>
    <row r="5" spans="1:17" ht="30.75" thickTop="1" x14ac:dyDescent="0.25">
      <c r="G5" s="47" t="s">
        <v>2010</v>
      </c>
      <c r="H5" s="48" t="s">
        <v>2011</v>
      </c>
      <c r="I5" s="48" t="s">
        <v>2012</v>
      </c>
      <c r="J5" s="47" t="s">
        <v>1945</v>
      </c>
      <c r="K5" s="49">
        <v>0.1</v>
      </c>
      <c r="L5" s="49">
        <v>0.15</v>
      </c>
      <c r="M5" s="49">
        <v>0.2</v>
      </c>
      <c r="N5" s="49">
        <v>0.25</v>
      </c>
      <c r="O5" s="49">
        <v>0.3</v>
      </c>
      <c r="P5" s="49">
        <v>0.35</v>
      </c>
      <c r="Q5" s="49">
        <v>0.4</v>
      </c>
    </row>
    <row r="6" spans="1:17" x14ac:dyDescent="0.25">
      <c r="G6" t="s">
        <v>2013</v>
      </c>
      <c r="H6">
        <v>600</v>
      </c>
      <c r="I6">
        <v>200</v>
      </c>
    </row>
    <row r="7" spans="1:17" x14ac:dyDescent="0.25">
      <c r="G7" t="s">
        <v>2014</v>
      </c>
      <c r="H7">
        <v>753</v>
      </c>
      <c r="I7">
        <v>137</v>
      </c>
    </row>
    <row r="8" spans="1:17" x14ac:dyDescent="0.25">
      <c r="G8" t="s">
        <v>2015</v>
      </c>
      <c r="H8">
        <v>695</v>
      </c>
      <c r="I8">
        <v>231</v>
      </c>
    </row>
    <row r="9" spans="1:17" x14ac:dyDescent="0.25">
      <c r="G9" t="s">
        <v>2016</v>
      </c>
      <c r="H9">
        <v>742</v>
      </c>
      <c r="I9">
        <v>228</v>
      </c>
    </row>
    <row r="10" spans="1:17" x14ac:dyDescent="0.25">
      <c r="G10" t="s">
        <v>2017</v>
      </c>
      <c r="H10">
        <v>804</v>
      </c>
      <c r="I10">
        <v>146</v>
      </c>
    </row>
    <row r="11" spans="1:17" x14ac:dyDescent="0.25">
      <c r="G11" t="s">
        <v>2018</v>
      </c>
      <c r="H11">
        <v>821</v>
      </c>
      <c r="I11">
        <v>152</v>
      </c>
    </row>
    <row r="12" spans="1:17" x14ac:dyDescent="0.25">
      <c r="G12" t="s">
        <v>2019</v>
      </c>
      <c r="H12">
        <v>617</v>
      </c>
      <c r="I12">
        <v>246</v>
      </c>
    </row>
    <row r="13" spans="1:17" x14ac:dyDescent="0.25">
      <c r="G13" t="s">
        <v>2020</v>
      </c>
      <c r="H13">
        <v>455</v>
      </c>
      <c r="I13">
        <v>174</v>
      </c>
    </row>
    <row r="14" spans="1:17" x14ac:dyDescent="0.25">
      <c r="G14" t="s">
        <v>2021</v>
      </c>
      <c r="H14">
        <v>542</v>
      </c>
      <c r="I14">
        <v>193</v>
      </c>
    </row>
    <row r="15" spans="1:17" x14ac:dyDescent="0.25">
      <c r="G15" t="s">
        <v>2022</v>
      </c>
      <c r="H15">
        <v>649</v>
      </c>
      <c r="I15">
        <v>215</v>
      </c>
    </row>
    <row r="16" spans="1:17" x14ac:dyDescent="0.25">
      <c r="G16" t="s">
        <v>2023</v>
      </c>
      <c r="H16">
        <v>822</v>
      </c>
      <c r="I16">
        <v>151</v>
      </c>
    </row>
    <row r="17" spans="4:9" x14ac:dyDescent="0.25">
      <c r="G17" t="s">
        <v>2024</v>
      </c>
      <c r="H17">
        <v>846</v>
      </c>
      <c r="I17">
        <v>124</v>
      </c>
    </row>
    <row r="18" spans="4:9" x14ac:dyDescent="0.25">
      <c r="G18" t="s">
        <v>2025</v>
      </c>
      <c r="H18">
        <v>995</v>
      </c>
      <c r="I18">
        <v>140</v>
      </c>
    </row>
    <row r="19" spans="4:9" x14ac:dyDescent="0.25">
      <c r="G19" t="s">
        <v>2026</v>
      </c>
      <c r="H19">
        <v>685</v>
      </c>
      <c r="I19">
        <v>198</v>
      </c>
    </row>
    <row r="20" spans="4:9" x14ac:dyDescent="0.25">
      <c r="G20" t="s">
        <v>2027</v>
      </c>
      <c r="H20">
        <v>660</v>
      </c>
      <c r="I20">
        <v>136</v>
      </c>
    </row>
    <row r="21" spans="4:9" x14ac:dyDescent="0.25">
      <c r="G21" t="s">
        <v>2028</v>
      </c>
      <c r="H21">
        <v>651</v>
      </c>
      <c r="I21">
        <v>117</v>
      </c>
    </row>
    <row r="22" spans="4:9" x14ac:dyDescent="0.25">
      <c r="G22" t="s">
        <v>2029</v>
      </c>
      <c r="H22">
        <v>668</v>
      </c>
      <c r="I22">
        <v>218</v>
      </c>
    </row>
    <row r="23" spans="4:9" x14ac:dyDescent="0.25">
      <c r="G23" t="s">
        <v>2030</v>
      </c>
      <c r="H23">
        <v>625</v>
      </c>
      <c r="I23">
        <v>245</v>
      </c>
    </row>
    <row r="24" spans="4:9" x14ac:dyDescent="0.25">
      <c r="G24" t="s">
        <v>2031</v>
      </c>
      <c r="H24">
        <v>702</v>
      </c>
      <c r="I24">
        <v>221</v>
      </c>
    </row>
    <row r="25" spans="4:9" x14ac:dyDescent="0.25">
      <c r="G25" t="s">
        <v>2032</v>
      </c>
      <c r="H25">
        <v>693</v>
      </c>
      <c r="I25">
        <v>197</v>
      </c>
    </row>
    <row r="26" spans="4:9" x14ac:dyDescent="0.25">
      <c r="G26" t="s">
        <v>2033</v>
      </c>
      <c r="H26">
        <v>736</v>
      </c>
      <c r="I26">
        <v>201</v>
      </c>
    </row>
    <row r="29" spans="4:9" x14ac:dyDescent="0.25">
      <c r="D29" s="45"/>
    </row>
    <row r="34" spans="7:17" ht="15.75" thickBot="1" x14ac:dyDescent="0.3">
      <c r="G34" s="18" t="s">
        <v>2034</v>
      </c>
    </row>
    <row r="35" spans="7:17" ht="16.5" thickTop="1" thickBot="1" x14ac:dyDescent="0.3">
      <c r="K35" s="57" t="s">
        <v>2009</v>
      </c>
      <c r="L35" s="58"/>
      <c r="M35" s="58"/>
      <c r="N35" s="58"/>
      <c r="O35" s="58"/>
      <c r="P35" s="58"/>
      <c r="Q35" s="59"/>
    </row>
    <row r="36" spans="7:17" ht="30.75" thickTop="1" x14ac:dyDescent="0.25">
      <c r="G36" s="47" t="s">
        <v>2010</v>
      </c>
      <c r="H36" s="48" t="s">
        <v>2011</v>
      </c>
      <c r="I36" s="48" t="s">
        <v>2012</v>
      </c>
      <c r="J36" s="47" t="s">
        <v>1945</v>
      </c>
      <c r="K36" s="49">
        <v>0.1</v>
      </c>
      <c r="L36" s="49">
        <v>0.15</v>
      </c>
      <c r="M36" s="49">
        <v>0.2</v>
      </c>
      <c r="N36" s="49">
        <v>0.25</v>
      </c>
      <c r="O36" s="49">
        <v>0.3</v>
      </c>
      <c r="P36" s="49">
        <v>0.35</v>
      </c>
      <c r="Q36" s="49">
        <v>0.4</v>
      </c>
    </row>
    <row r="37" spans="7:17" x14ac:dyDescent="0.25">
      <c r="G37" t="s">
        <v>2013</v>
      </c>
      <c r="H37">
        <v>600</v>
      </c>
      <c r="I37">
        <v>200</v>
      </c>
      <c r="J37">
        <f>H37+I37</f>
        <v>800</v>
      </c>
      <c r="K37">
        <f t="shared" ref="K37:Q46" si="0">ROUND($J37*(1+K$5)*(1+TVACH),0)</f>
        <v>957</v>
      </c>
      <c r="L37">
        <f t="shared" si="0"/>
        <v>1000</v>
      </c>
      <c r="M37">
        <f t="shared" si="0"/>
        <v>1044</v>
      </c>
      <c r="N37">
        <f t="shared" si="0"/>
        <v>1087</v>
      </c>
      <c r="O37">
        <f t="shared" si="0"/>
        <v>1130</v>
      </c>
      <c r="P37">
        <f t="shared" si="0"/>
        <v>1174</v>
      </c>
      <c r="Q37">
        <f t="shared" si="0"/>
        <v>1217</v>
      </c>
    </row>
    <row r="38" spans="7:17" x14ac:dyDescent="0.25">
      <c r="G38" t="s">
        <v>2014</v>
      </c>
      <c r="H38">
        <v>753</v>
      </c>
      <c r="I38">
        <v>137</v>
      </c>
      <c r="J38">
        <f t="shared" ref="J38:J57" si="1">H38+I38</f>
        <v>890</v>
      </c>
      <c r="K38">
        <f t="shared" si="0"/>
        <v>1064</v>
      </c>
      <c r="L38">
        <f t="shared" si="0"/>
        <v>1113</v>
      </c>
      <c r="M38">
        <f t="shared" si="0"/>
        <v>1161</v>
      </c>
      <c r="N38">
        <f t="shared" si="0"/>
        <v>1209</v>
      </c>
      <c r="O38">
        <f t="shared" si="0"/>
        <v>1258</v>
      </c>
      <c r="P38">
        <f t="shared" si="0"/>
        <v>1306</v>
      </c>
      <c r="Q38">
        <f t="shared" si="0"/>
        <v>1354</v>
      </c>
    </row>
    <row r="39" spans="7:17" x14ac:dyDescent="0.25">
      <c r="G39" t="s">
        <v>2015</v>
      </c>
      <c r="H39">
        <v>695</v>
      </c>
      <c r="I39">
        <v>231</v>
      </c>
      <c r="J39">
        <f t="shared" si="1"/>
        <v>926</v>
      </c>
      <c r="K39">
        <f t="shared" si="0"/>
        <v>1107</v>
      </c>
      <c r="L39">
        <f t="shared" si="0"/>
        <v>1158</v>
      </c>
      <c r="M39">
        <f t="shared" si="0"/>
        <v>1208</v>
      </c>
      <c r="N39">
        <f t="shared" si="0"/>
        <v>1258</v>
      </c>
      <c r="O39">
        <f t="shared" si="0"/>
        <v>1309</v>
      </c>
      <c r="P39">
        <f t="shared" si="0"/>
        <v>1359</v>
      </c>
      <c r="Q39">
        <f t="shared" si="0"/>
        <v>1409</v>
      </c>
    </row>
    <row r="40" spans="7:17" x14ac:dyDescent="0.25">
      <c r="G40" t="s">
        <v>2016</v>
      </c>
      <c r="H40">
        <v>742</v>
      </c>
      <c r="I40">
        <v>228</v>
      </c>
      <c r="J40">
        <f t="shared" si="1"/>
        <v>970</v>
      </c>
      <c r="K40">
        <f t="shared" si="0"/>
        <v>1160</v>
      </c>
      <c r="L40">
        <f t="shared" si="0"/>
        <v>1213</v>
      </c>
      <c r="M40">
        <f t="shared" si="0"/>
        <v>1265</v>
      </c>
      <c r="N40">
        <f t="shared" si="0"/>
        <v>1318</v>
      </c>
      <c r="O40">
        <f t="shared" si="0"/>
        <v>1371</v>
      </c>
      <c r="P40">
        <f t="shared" si="0"/>
        <v>1423</v>
      </c>
      <c r="Q40">
        <f t="shared" si="0"/>
        <v>1476</v>
      </c>
    </row>
    <row r="41" spans="7:17" x14ac:dyDescent="0.25">
      <c r="G41" t="s">
        <v>2017</v>
      </c>
      <c r="H41">
        <v>804</v>
      </c>
      <c r="I41">
        <v>146</v>
      </c>
      <c r="J41">
        <f t="shared" si="1"/>
        <v>950</v>
      </c>
      <c r="K41">
        <f t="shared" si="0"/>
        <v>1136</v>
      </c>
      <c r="L41">
        <f t="shared" si="0"/>
        <v>1188</v>
      </c>
      <c r="M41">
        <f t="shared" si="0"/>
        <v>1239</v>
      </c>
      <c r="N41">
        <f t="shared" si="0"/>
        <v>1291</v>
      </c>
      <c r="O41">
        <f t="shared" si="0"/>
        <v>1342</v>
      </c>
      <c r="P41">
        <f t="shared" si="0"/>
        <v>1394</v>
      </c>
      <c r="Q41">
        <f t="shared" si="0"/>
        <v>1446</v>
      </c>
    </row>
    <row r="42" spans="7:17" x14ac:dyDescent="0.25">
      <c r="G42" t="s">
        <v>2018</v>
      </c>
      <c r="H42">
        <v>821</v>
      </c>
      <c r="I42">
        <v>152</v>
      </c>
      <c r="J42">
        <f t="shared" si="1"/>
        <v>973</v>
      </c>
      <c r="K42">
        <f t="shared" si="0"/>
        <v>1163</v>
      </c>
      <c r="L42">
        <f t="shared" si="0"/>
        <v>1216</v>
      </c>
      <c r="M42">
        <f t="shared" si="0"/>
        <v>1269</v>
      </c>
      <c r="N42">
        <f t="shared" si="0"/>
        <v>1322</v>
      </c>
      <c r="O42">
        <f t="shared" si="0"/>
        <v>1375</v>
      </c>
      <c r="P42">
        <f t="shared" si="0"/>
        <v>1428</v>
      </c>
      <c r="Q42">
        <f t="shared" si="0"/>
        <v>1481</v>
      </c>
    </row>
    <row r="43" spans="7:17" x14ac:dyDescent="0.25">
      <c r="G43" t="s">
        <v>2019</v>
      </c>
      <c r="H43">
        <v>617</v>
      </c>
      <c r="I43">
        <v>246</v>
      </c>
      <c r="J43">
        <f t="shared" si="1"/>
        <v>863</v>
      </c>
      <c r="K43">
        <f t="shared" si="0"/>
        <v>1032</v>
      </c>
      <c r="L43">
        <f t="shared" si="0"/>
        <v>1079</v>
      </c>
      <c r="M43">
        <f t="shared" si="0"/>
        <v>1126</v>
      </c>
      <c r="N43">
        <f t="shared" si="0"/>
        <v>1173</v>
      </c>
      <c r="O43">
        <f t="shared" si="0"/>
        <v>1220</v>
      </c>
      <c r="P43">
        <f t="shared" si="0"/>
        <v>1266</v>
      </c>
      <c r="Q43">
        <f t="shared" si="0"/>
        <v>1313</v>
      </c>
    </row>
    <row r="44" spans="7:17" x14ac:dyDescent="0.25">
      <c r="G44" t="s">
        <v>2020</v>
      </c>
      <c r="H44">
        <v>455</v>
      </c>
      <c r="I44">
        <v>174</v>
      </c>
      <c r="J44">
        <f t="shared" si="1"/>
        <v>629</v>
      </c>
      <c r="K44">
        <f t="shared" si="0"/>
        <v>752</v>
      </c>
      <c r="L44">
        <f t="shared" si="0"/>
        <v>786</v>
      </c>
      <c r="M44">
        <f t="shared" si="0"/>
        <v>820</v>
      </c>
      <c r="N44">
        <f t="shared" si="0"/>
        <v>855</v>
      </c>
      <c r="O44">
        <f t="shared" si="0"/>
        <v>889</v>
      </c>
      <c r="P44">
        <f t="shared" si="0"/>
        <v>923</v>
      </c>
      <c r="Q44">
        <f t="shared" si="0"/>
        <v>957</v>
      </c>
    </row>
    <row r="45" spans="7:17" x14ac:dyDescent="0.25">
      <c r="G45" t="s">
        <v>2021</v>
      </c>
      <c r="H45">
        <v>542</v>
      </c>
      <c r="I45">
        <v>193</v>
      </c>
      <c r="J45">
        <f t="shared" si="1"/>
        <v>735</v>
      </c>
      <c r="K45">
        <f t="shared" si="0"/>
        <v>879</v>
      </c>
      <c r="L45">
        <f t="shared" si="0"/>
        <v>919</v>
      </c>
      <c r="M45">
        <f t="shared" si="0"/>
        <v>959</v>
      </c>
      <c r="N45">
        <f t="shared" si="0"/>
        <v>999</v>
      </c>
      <c r="O45">
        <f t="shared" si="0"/>
        <v>1039</v>
      </c>
      <c r="P45">
        <f t="shared" si="0"/>
        <v>1079</v>
      </c>
      <c r="Q45">
        <f t="shared" si="0"/>
        <v>1119</v>
      </c>
    </row>
    <row r="46" spans="7:17" x14ac:dyDescent="0.25">
      <c r="G46" t="s">
        <v>2022</v>
      </c>
      <c r="H46">
        <v>649</v>
      </c>
      <c r="I46">
        <v>215</v>
      </c>
      <c r="J46">
        <f t="shared" si="1"/>
        <v>864</v>
      </c>
      <c r="K46">
        <f t="shared" si="0"/>
        <v>1033</v>
      </c>
      <c r="L46">
        <f t="shared" si="0"/>
        <v>1080</v>
      </c>
      <c r="M46">
        <f t="shared" si="0"/>
        <v>1127</v>
      </c>
      <c r="N46">
        <f t="shared" si="0"/>
        <v>1174</v>
      </c>
      <c r="O46">
        <f t="shared" si="0"/>
        <v>1221</v>
      </c>
      <c r="P46">
        <f t="shared" si="0"/>
        <v>1268</v>
      </c>
      <c r="Q46">
        <f t="shared" si="0"/>
        <v>1315</v>
      </c>
    </row>
    <row r="47" spans="7:17" x14ac:dyDescent="0.25">
      <c r="G47" t="s">
        <v>2023</v>
      </c>
      <c r="H47">
        <v>822</v>
      </c>
      <c r="I47">
        <v>151</v>
      </c>
      <c r="J47">
        <f t="shared" si="1"/>
        <v>973</v>
      </c>
      <c r="K47">
        <f t="shared" ref="K47:Q57" si="2">ROUND($J47*(1+K$5)*(1+TVACH),0)</f>
        <v>1163</v>
      </c>
      <c r="L47">
        <f t="shared" si="2"/>
        <v>1216</v>
      </c>
      <c r="M47">
        <f t="shared" si="2"/>
        <v>1269</v>
      </c>
      <c r="N47">
        <f t="shared" si="2"/>
        <v>1322</v>
      </c>
      <c r="O47">
        <f t="shared" si="2"/>
        <v>1375</v>
      </c>
      <c r="P47">
        <f t="shared" si="2"/>
        <v>1428</v>
      </c>
      <c r="Q47">
        <f t="shared" si="2"/>
        <v>1481</v>
      </c>
    </row>
    <row r="48" spans="7:17" x14ac:dyDescent="0.25">
      <c r="G48" t="s">
        <v>2024</v>
      </c>
      <c r="H48">
        <v>846</v>
      </c>
      <c r="I48">
        <v>124</v>
      </c>
      <c r="J48">
        <f t="shared" si="1"/>
        <v>970</v>
      </c>
      <c r="K48">
        <f t="shared" si="2"/>
        <v>1160</v>
      </c>
      <c r="L48">
        <f t="shared" si="2"/>
        <v>1213</v>
      </c>
      <c r="M48">
        <f t="shared" si="2"/>
        <v>1265</v>
      </c>
      <c r="N48">
        <f t="shared" si="2"/>
        <v>1318</v>
      </c>
      <c r="O48">
        <f t="shared" si="2"/>
        <v>1371</v>
      </c>
      <c r="P48">
        <f t="shared" si="2"/>
        <v>1423</v>
      </c>
      <c r="Q48">
        <f t="shared" si="2"/>
        <v>1476</v>
      </c>
    </row>
    <row r="49" spans="7:17" x14ac:dyDescent="0.25">
      <c r="G49" t="s">
        <v>2025</v>
      </c>
      <c r="H49">
        <v>995</v>
      </c>
      <c r="I49">
        <v>140</v>
      </c>
      <c r="J49">
        <f t="shared" si="1"/>
        <v>1135</v>
      </c>
      <c r="K49">
        <f t="shared" si="2"/>
        <v>1357</v>
      </c>
      <c r="L49">
        <f t="shared" si="2"/>
        <v>1419</v>
      </c>
      <c r="M49">
        <f t="shared" si="2"/>
        <v>1480</v>
      </c>
      <c r="N49">
        <f t="shared" si="2"/>
        <v>1542</v>
      </c>
      <c r="O49">
        <f t="shared" si="2"/>
        <v>1604</v>
      </c>
      <c r="P49">
        <f t="shared" si="2"/>
        <v>1666</v>
      </c>
      <c r="Q49">
        <f t="shared" si="2"/>
        <v>1727</v>
      </c>
    </row>
    <row r="50" spans="7:17" x14ac:dyDescent="0.25">
      <c r="G50" t="s">
        <v>2026</v>
      </c>
      <c r="H50">
        <v>685</v>
      </c>
      <c r="I50">
        <v>198</v>
      </c>
      <c r="J50">
        <f t="shared" si="1"/>
        <v>883</v>
      </c>
      <c r="K50">
        <f t="shared" si="2"/>
        <v>1056</v>
      </c>
      <c r="L50">
        <f t="shared" si="2"/>
        <v>1104</v>
      </c>
      <c r="M50">
        <f t="shared" si="2"/>
        <v>1152</v>
      </c>
      <c r="N50">
        <f t="shared" si="2"/>
        <v>1200</v>
      </c>
      <c r="O50">
        <f t="shared" si="2"/>
        <v>1248</v>
      </c>
      <c r="P50">
        <f t="shared" si="2"/>
        <v>1296</v>
      </c>
      <c r="Q50">
        <f t="shared" si="2"/>
        <v>1344</v>
      </c>
    </row>
    <row r="51" spans="7:17" x14ac:dyDescent="0.25">
      <c r="G51" t="s">
        <v>2027</v>
      </c>
      <c r="H51">
        <v>660</v>
      </c>
      <c r="I51">
        <v>136</v>
      </c>
      <c r="J51">
        <f t="shared" si="1"/>
        <v>796</v>
      </c>
      <c r="K51">
        <f t="shared" si="2"/>
        <v>952</v>
      </c>
      <c r="L51">
        <f t="shared" si="2"/>
        <v>995</v>
      </c>
      <c r="M51">
        <f t="shared" si="2"/>
        <v>1038</v>
      </c>
      <c r="N51">
        <f t="shared" si="2"/>
        <v>1082</v>
      </c>
      <c r="O51">
        <f t="shared" si="2"/>
        <v>1125</v>
      </c>
      <c r="P51">
        <f t="shared" si="2"/>
        <v>1168</v>
      </c>
      <c r="Q51">
        <f t="shared" si="2"/>
        <v>1211</v>
      </c>
    </row>
    <row r="52" spans="7:17" x14ac:dyDescent="0.25">
      <c r="G52" t="s">
        <v>2028</v>
      </c>
      <c r="H52">
        <v>651</v>
      </c>
      <c r="I52">
        <v>117</v>
      </c>
      <c r="J52">
        <f t="shared" si="1"/>
        <v>768</v>
      </c>
      <c r="K52">
        <f t="shared" si="2"/>
        <v>918</v>
      </c>
      <c r="L52">
        <f t="shared" si="2"/>
        <v>960</v>
      </c>
      <c r="M52">
        <f t="shared" si="2"/>
        <v>1002</v>
      </c>
      <c r="N52">
        <f t="shared" si="2"/>
        <v>1044</v>
      </c>
      <c r="O52">
        <f t="shared" si="2"/>
        <v>1085</v>
      </c>
      <c r="P52">
        <f t="shared" si="2"/>
        <v>1127</v>
      </c>
      <c r="Q52">
        <f t="shared" si="2"/>
        <v>1169</v>
      </c>
    </row>
    <row r="53" spans="7:17" x14ac:dyDescent="0.25">
      <c r="G53" t="s">
        <v>2029</v>
      </c>
      <c r="H53">
        <v>668</v>
      </c>
      <c r="I53">
        <v>218</v>
      </c>
      <c r="J53">
        <f t="shared" si="1"/>
        <v>886</v>
      </c>
      <c r="K53">
        <f t="shared" si="2"/>
        <v>1059</v>
      </c>
      <c r="L53">
        <f t="shared" si="2"/>
        <v>1108</v>
      </c>
      <c r="M53">
        <f t="shared" si="2"/>
        <v>1156</v>
      </c>
      <c r="N53">
        <f t="shared" si="2"/>
        <v>1204</v>
      </c>
      <c r="O53">
        <f t="shared" si="2"/>
        <v>1252</v>
      </c>
      <c r="P53">
        <f t="shared" si="2"/>
        <v>1300</v>
      </c>
      <c r="Q53">
        <f t="shared" si="2"/>
        <v>1348</v>
      </c>
    </row>
    <row r="54" spans="7:17" x14ac:dyDescent="0.25">
      <c r="G54" t="s">
        <v>2030</v>
      </c>
      <c r="H54">
        <v>625</v>
      </c>
      <c r="I54">
        <v>245</v>
      </c>
      <c r="J54">
        <f t="shared" si="1"/>
        <v>870</v>
      </c>
      <c r="K54">
        <f t="shared" si="2"/>
        <v>1040</v>
      </c>
      <c r="L54">
        <f t="shared" si="2"/>
        <v>1088</v>
      </c>
      <c r="M54">
        <f t="shared" si="2"/>
        <v>1135</v>
      </c>
      <c r="N54">
        <f t="shared" si="2"/>
        <v>1182</v>
      </c>
      <c r="O54">
        <f t="shared" si="2"/>
        <v>1229</v>
      </c>
      <c r="P54">
        <f t="shared" si="2"/>
        <v>1277</v>
      </c>
      <c r="Q54">
        <f t="shared" si="2"/>
        <v>1324</v>
      </c>
    </row>
    <row r="55" spans="7:17" x14ac:dyDescent="0.25">
      <c r="G55" t="s">
        <v>2031</v>
      </c>
      <c r="H55">
        <v>702</v>
      </c>
      <c r="I55">
        <v>221</v>
      </c>
      <c r="J55">
        <f t="shared" si="1"/>
        <v>923</v>
      </c>
      <c r="K55">
        <f t="shared" si="2"/>
        <v>1104</v>
      </c>
      <c r="L55">
        <f t="shared" si="2"/>
        <v>1154</v>
      </c>
      <c r="M55">
        <f t="shared" si="2"/>
        <v>1204</v>
      </c>
      <c r="N55">
        <f t="shared" si="2"/>
        <v>1254</v>
      </c>
      <c r="O55">
        <f t="shared" si="2"/>
        <v>1304</v>
      </c>
      <c r="P55">
        <f t="shared" si="2"/>
        <v>1354</v>
      </c>
      <c r="Q55">
        <f t="shared" si="2"/>
        <v>1405</v>
      </c>
    </row>
    <row r="56" spans="7:17" x14ac:dyDescent="0.25">
      <c r="G56" t="s">
        <v>2032</v>
      </c>
      <c r="H56">
        <v>693</v>
      </c>
      <c r="I56">
        <v>197</v>
      </c>
      <c r="J56">
        <f t="shared" si="1"/>
        <v>890</v>
      </c>
      <c r="K56">
        <f t="shared" si="2"/>
        <v>1064</v>
      </c>
      <c r="L56">
        <f t="shared" si="2"/>
        <v>1113</v>
      </c>
      <c r="M56">
        <f t="shared" si="2"/>
        <v>1161</v>
      </c>
      <c r="N56">
        <f t="shared" si="2"/>
        <v>1209</v>
      </c>
      <c r="O56">
        <f t="shared" si="2"/>
        <v>1258</v>
      </c>
      <c r="P56">
        <f t="shared" si="2"/>
        <v>1306</v>
      </c>
      <c r="Q56">
        <f t="shared" si="2"/>
        <v>1354</v>
      </c>
    </row>
    <row r="57" spans="7:17" x14ac:dyDescent="0.25">
      <c r="G57" t="s">
        <v>2033</v>
      </c>
      <c r="H57">
        <v>736</v>
      </c>
      <c r="I57">
        <v>201</v>
      </c>
      <c r="J57">
        <f t="shared" si="1"/>
        <v>937</v>
      </c>
      <c r="K57">
        <f t="shared" si="2"/>
        <v>1120</v>
      </c>
      <c r="L57">
        <f t="shared" si="2"/>
        <v>1171</v>
      </c>
      <c r="M57">
        <f t="shared" si="2"/>
        <v>1222</v>
      </c>
      <c r="N57">
        <f t="shared" si="2"/>
        <v>1273</v>
      </c>
      <c r="O57">
        <f t="shared" si="2"/>
        <v>1324</v>
      </c>
      <c r="P57">
        <f t="shared" si="2"/>
        <v>1375</v>
      </c>
      <c r="Q57">
        <f t="shared" si="2"/>
        <v>1426</v>
      </c>
    </row>
  </sheetData>
  <mergeCells count="2">
    <mergeCell ref="K4:Q4"/>
    <mergeCell ref="K35:Q35"/>
  </mergeCells>
  <phoneticPr fontId="2"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3DC6E-C95E-433A-89F4-8B5CFE2E9743}">
  <sheetPr>
    <tabColor theme="6"/>
  </sheetPr>
  <dimension ref="A1:T29"/>
  <sheetViews>
    <sheetView workbookViewId="0">
      <selection activeCell="L33" sqref="L33"/>
    </sheetView>
  </sheetViews>
  <sheetFormatPr baseColWidth="10" defaultColWidth="9.140625" defaultRowHeight="15" x14ac:dyDescent="0.25"/>
  <cols>
    <col min="1" max="1" width="72.5703125" customWidth="1"/>
    <col min="4" max="9" width="9.5703125" customWidth="1"/>
    <col min="10" max="10" width="14" customWidth="1"/>
    <col min="12" max="12" width="8.85546875" style="2" bestFit="1" customWidth="1"/>
    <col min="17" max="17" width="18.140625" bestFit="1" customWidth="1"/>
  </cols>
  <sheetData>
    <row r="1" spans="1:19" s="21" customFormat="1" ht="73.5" customHeight="1" x14ac:dyDescent="0.25">
      <c r="A1" s="46" t="e" vm="1">
        <f>Variables!$A$1</f>
        <v>#VALUE!</v>
      </c>
      <c r="B1" s="46"/>
      <c r="C1" s="46"/>
      <c r="D1" s="46"/>
      <c r="E1" s="46"/>
      <c r="F1" s="46"/>
      <c r="G1" s="46"/>
      <c r="H1" s="46"/>
      <c r="I1" s="46"/>
      <c r="J1" s="46"/>
      <c r="K1" s="46"/>
      <c r="L1" s="46"/>
      <c r="M1" s="46"/>
      <c r="N1" s="46"/>
      <c r="O1" s="46"/>
      <c r="P1" s="46"/>
      <c r="Q1" s="46"/>
      <c r="R1" s="46"/>
      <c r="S1" s="46"/>
    </row>
    <row r="2" spans="1:19" s="37" customFormat="1" ht="8.1" customHeight="1" x14ac:dyDescent="0.25"/>
    <row r="4" spans="1:19" ht="40.5" customHeight="1" thickBot="1" x14ac:dyDescent="0.75">
      <c r="D4" s="52">
        <v>2024</v>
      </c>
      <c r="E4" s="52"/>
      <c r="F4" s="52"/>
      <c r="G4" s="52"/>
      <c r="H4" s="52"/>
      <c r="I4" s="52"/>
      <c r="J4" s="52"/>
      <c r="K4" s="5"/>
    </row>
    <row r="5" spans="1:19" ht="47.25" thickBot="1" x14ac:dyDescent="0.75">
      <c r="D5" s="53" t="s">
        <v>1962</v>
      </c>
      <c r="E5" s="54"/>
      <c r="F5" s="55"/>
      <c r="G5" s="53" t="s">
        <v>1963</v>
      </c>
      <c r="H5" s="56"/>
      <c r="I5" s="56"/>
      <c r="J5" s="56"/>
    </row>
    <row r="6" spans="1:19" x14ac:dyDescent="0.25">
      <c r="D6" s="8" t="s">
        <v>1964</v>
      </c>
      <c r="E6" s="8" t="s">
        <v>1965</v>
      </c>
      <c r="F6" s="9" t="s">
        <v>1966</v>
      </c>
      <c r="G6" s="8" t="s">
        <v>1967</v>
      </c>
      <c r="H6" s="8" t="s">
        <v>1968</v>
      </c>
      <c r="I6" s="16" t="s">
        <v>1969</v>
      </c>
      <c r="J6" s="17"/>
    </row>
    <row r="7" spans="1:19" x14ac:dyDescent="0.25">
      <c r="D7">
        <v>510</v>
      </c>
      <c r="E7">
        <v>380</v>
      </c>
      <c r="F7">
        <v>480</v>
      </c>
    </row>
    <row r="8" spans="1:19" x14ac:dyDescent="0.25">
      <c r="D8">
        <v>920</v>
      </c>
      <c r="E8">
        <v>320</v>
      </c>
      <c r="F8">
        <v>280</v>
      </c>
    </row>
    <row r="9" spans="1:19" x14ac:dyDescent="0.25">
      <c r="D9">
        <v>740</v>
      </c>
      <c r="E9">
        <v>670</v>
      </c>
      <c r="F9">
        <v>790</v>
      </c>
    </row>
    <row r="10" spans="1:19" x14ac:dyDescent="0.25">
      <c r="D10">
        <v>410</v>
      </c>
      <c r="E10">
        <v>190</v>
      </c>
      <c r="F10">
        <v>130</v>
      </c>
    </row>
    <row r="11" spans="1:19" x14ac:dyDescent="0.25">
      <c r="D11">
        <v>400</v>
      </c>
      <c r="E11">
        <v>950</v>
      </c>
      <c r="F11">
        <v>740</v>
      </c>
    </row>
    <row r="12" spans="1:19" x14ac:dyDescent="0.25">
      <c r="D12">
        <v>500</v>
      </c>
      <c r="E12">
        <v>850</v>
      </c>
      <c r="F12">
        <v>890</v>
      </c>
    </row>
    <row r="13" spans="1:19" x14ac:dyDescent="0.25">
      <c r="D13">
        <v>270</v>
      </c>
      <c r="E13">
        <v>680</v>
      </c>
      <c r="F13">
        <v>220</v>
      </c>
    </row>
    <row r="14" spans="1:19" x14ac:dyDescent="0.25">
      <c r="D14">
        <v>420</v>
      </c>
      <c r="E14">
        <v>700</v>
      </c>
      <c r="F14">
        <v>190</v>
      </c>
    </row>
    <row r="15" spans="1:19" x14ac:dyDescent="0.25">
      <c r="D15">
        <v>630</v>
      </c>
      <c r="E15">
        <v>710</v>
      </c>
      <c r="F15">
        <v>490</v>
      </c>
    </row>
    <row r="16" spans="1:19" x14ac:dyDescent="0.25">
      <c r="D16">
        <v>240</v>
      </c>
      <c r="E16">
        <v>790</v>
      </c>
      <c r="F16">
        <v>170</v>
      </c>
    </row>
    <row r="17" spans="1:20" x14ac:dyDescent="0.25">
      <c r="D17">
        <v>920</v>
      </c>
      <c r="E17">
        <v>220</v>
      </c>
      <c r="F17">
        <v>330</v>
      </c>
    </row>
    <row r="18" spans="1:20" s="2" customFormat="1" x14ac:dyDescent="0.25">
      <c r="A18"/>
      <c r="B18"/>
      <c r="C18"/>
      <c r="D18">
        <v>210</v>
      </c>
      <c r="E18">
        <v>820</v>
      </c>
      <c r="F18">
        <v>540</v>
      </c>
      <c r="G18"/>
      <c r="H18"/>
      <c r="I18"/>
      <c r="J18"/>
      <c r="K18"/>
      <c r="M18"/>
      <c r="N18"/>
      <c r="O18"/>
      <c r="P18"/>
      <c r="Q18"/>
      <c r="R18"/>
      <c r="S18"/>
      <c r="T18"/>
    </row>
    <row r="19" spans="1:20" s="2" customFormat="1" x14ac:dyDescent="0.25">
      <c r="A19"/>
      <c r="B19"/>
      <c r="C19"/>
      <c r="D19">
        <v>720</v>
      </c>
      <c r="E19">
        <v>740</v>
      </c>
      <c r="F19">
        <v>480</v>
      </c>
      <c r="G19"/>
      <c r="H19"/>
      <c r="I19"/>
      <c r="J19"/>
      <c r="K19"/>
      <c r="M19"/>
      <c r="N19"/>
      <c r="O19"/>
      <c r="P19"/>
      <c r="Q19"/>
      <c r="R19"/>
      <c r="S19"/>
      <c r="T19"/>
    </row>
    <row r="20" spans="1:20" s="2" customFormat="1" x14ac:dyDescent="0.25">
      <c r="A20"/>
      <c r="B20"/>
      <c r="C20"/>
      <c r="D20">
        <v>390</v>
      </c>
      <c r="E20">
        <v>1000</v>
      </c>
      <c r="F20">
        <v>740</v>
      </c>
      <c r="G20"/>
      <c r="H20"/>
      <c r="I20"/>
      <c r="J20"/>
      <c r="K20"/>
      <c r="M20"/>
      <c r="N20"/>
      <c r="O20"/>
      <c r="P20"/>
      <c r="Q20"/>
      <c r="R20"/>
      <c r="S20"/>
      <c r="T20"/>
    </row>
    <row r="21" spans="1:20" s="2" customFormat="1" x14ac:dyDescent="0.25">
      <c r="A21"/>
      <c r="B21"/>
      <c r="C21"/>
      <c r="D21">
        <v>890</v>
      </c>
      <c r="E21">
        <v>130</v>
      </c>
      <c r="F21">
        <v>860</v>
      </c>
      <c r="G21"/>
      <c r="H21"/>
      <c r="I21"/>
      <c r="J21"/>
      <c r="K21"/>
      <c r="M21"/>
      <c r="N21"/>
      <c r="O21"/>
      <c r="P21"/>
      <c r="Q21"/>
      <c r="R21"/>
      <c r="S21"/>
      <c r="T21"/>
    </row>
    <row r="22" spans="1:20" s="2" customFormat="1" x14ac:dyDescent="0.25">
      <c r="A22"/>
      <c r="B22"/>
      <c r="C22"/>
      <c r="D22"/>
      <c r="E22"/>
      <c r="F22"/>
      <c r="G22"/>
      <c r="H22"/>
      <c r="I22" s="3"/>
      <c r="J22" s="4"/>
      <c r="M22"/>
      <c r="N22"/>
      <c r="O22"/>
      <c r="P22"/>
      <c r="Q22"/>
      <c r="R22"/>
      <c r="S22"/>
      <c r="T22"/>
    </row>
    <row r="23" spans="1:20" s="2" customFormat="1" x14ac:dyDescent="0.25">
      <c r="A23"/>
      <c r="B23"/>
      <c r="C23"/>
      <c r="D23"/>
      <c r="E23"/>
      <c r="F23"/>
      <c r="G23"/>
      <c r="H23"/>
      <c r="I23" s="3"/>
      <c r="J23" s="4"/>
      <c r="K23"/>
      <c r="M23"/>
      <c r="N23"/>
      <c r="O23"/>
      <c r="P23"/>
      <c r="Q23"/>
      <c r="R23"/>
      <c r="S23"/>
      <c r="T23"/>
    </row>
    <row r="24" spans="1:20" s="2" customFormat="1" x14ac:dyDescent="0.25">
      <c r="A24"/>
      <c r="B24"/>
      <c r="C24"/>
      <c r="D24"/>
      <c r="E24"/>
      <c r="F24"/>
      <c r="G24"/>
      <c r="H24"/>
      <c r="I24" s="3"/>
      <c r="J24" s="10"/>
      <c r="K24"/>
      <c r="M24"/>
      <c r="N24"/>
      <c r="O24"/>
      <c r="P24"/>
      <c r="Q24"/>
      <c r="R24"/>
      <c r="S24"/>
      <c r="T24"/>
    </row>
    <row r="25" spans="1:20" s="2" customFormat="1" x14ac:dyDescent="0.25">
      <c r="A25"/>
      <c r="B25"/>
      <c r="C25"/>
      <c r="D25"/>
      <c r="E25"/>
      <c r="F25"/>
      <c r="G25"/>
      <c r="H25"/>
      <c r="I25" s="3"/>
      <c r="J25" s="4"/>
      <c r="K25"/>
      <c r="M25"/>
      <c r="N25"/>
      <c r="O25"/>
      <c r="P25"/>
      <c r="Q25"/>
      <c r="R25"/>
      <c r="S25"/>
      <c r="T25"/>
    </row>
    <row r="26" spans="1:20" s="2" customFormat="1" x14ac:dyDescent="0.25">
      <c r="A26"/>
      <c r="B26"/>
      <c r="C26"/>
      <c r="D26"/>
      <c r="E26"/>
      <c r="F26"/>
      <c r="G26"/>
      <c r="H26"/>
      <c r="I26" s="3"/>
      <c r="J26" s="4"/>
      <c r="K26"/>
      <c r="M26"/>
      <c r="N26"/>
      <c r="O26"/>
      <c r="P26"/>
      <c r="Q26"/>
      <c r="R26"/>
      <c r="S26"/>
      <c r="T26"/>
    </row>
    <row r="27" spans="1:20" s="2" customFormat="1" x14ac:dyDescent="0.25">
      <c r="A27"/>
      <c r="B27"/>
      <c r="C27"/>
      <c r="D27"/>
      <c r="E27"/>
      <c r="F27"/>
      <c r="G27"/>
      <c r="H27"/>
      <c r="I27" s="3"/>
      <c r="J27" s="4"/>
      <c r="K27"/>
      <c r="M27"/>
      <c r="N27"/>
      <c r="O27"/>
      <c r="P27"/>
      <c r="Q27"/>
      <c r="R27"/>
      <c r="S27"/>
      <c r="T27"/>
    </row>
    <row r="28" spans="1:20" s="2" customFormat="1" x14ac:dyDescent="0.25">
      <c r="A28"/>
      <c r="B28"/>
      <c r="C28"/>
      <c r="D28"/>
      <c r="E28"/>
      <c r="F28"/>
      <c r="G28"/>
      <c r="H28"/>
      <c r="I28" s="3"/>
      <c r="J28" s="4"/>
      <c r="K28"/>
      <c r="M28"/>
      <c r="N28"/>
      <c r="O28"/>
      <c r="P28"/>
      <c r="Q28"/>
      <c r="R28"/>
      <c r="S28"/>
      <c r="T28"/>
    </row>
    <row r="29" spans="1:20" s="2" customFormat="1" x14ac:dyDescent="0.25">
      <c r="A29"/>
      <c r="B29"/>
      <c r="C29"/>
      <c r="D29"/>
      <c r="E29"/>
      <c r="F29"/>
      <c r="G29"/>
      <c r="H29"/>
      <c r="I29" s="3"/>
      <c r="J29" s="4"/>
      <c r="K29"/>
      <c r="M29"/>
      <c r="N29"/>
      <c r="O29"/>
      <c r="P29"/>
      <c r="Q29"/>
      <c r="R29"/>
      <c r="S29"/>
      <c r="T29"/>
    </row>
  </sheetData>
  <mergeCells count="3">
    <mergeCell ref="D4:J4"/>
    <mergeCell ref="D5:F5"/>
    <mergeCell ref="G5:J5"/>
  </mergeCells>
  <pageMargins left="0.7" right="0.7" top="0.75" bottom="0.75" header="0.3" footer="0.3"/>
  <pageSetup paperSize="9" orientation="portrait" horizontalDpi="4294967293"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108D1-7C6B-47B9-A747-86FD10D7C9FD}">
  <sheetPr>
    <tabColor theme="6"/>
  </sheetPr>
  <dimension ref="A1:S2"/>
  <sheetViews>
    <sheetView workbookViewId="0">
      <selection activeCell="L33" sqref="L33"/>
    </sheetView>
  </sheetViews>
  <sheetFormatPr baseColWidth="10" defaultColWidth="11.42578125" defaultRowHeight="15" x14ac:dyDescent="0.25"/>
  <cols>
    <col min="1" max="1" width="14.42578125" customWidth="1"/>
  </cols>
  <sheetData>
    <row r="1" spans="1:19" s="21" customFormat="1" ht="73.5" customHeight="1" x14ac:dyDescent="0.25">
      <c r="A1" s="46" t="e" vm="1">
        <f>Variables!$A$1</f>
        <v>#VALUE!</v>
      </c>
      <c r="B1" s="46"/>
      <c r="C1" s="46"/>
      <c r="D1" s="46"/>
      <c r="E1" s="46"/>
      <c r="F1" s="46"/>
      <c r="G1" s="46"/>
      <c r="H1" s="46"/>
      <c r="I1" s="46"/>
      <c r="J1" s="46"/>
      <c r="K1" s="46"/>
      <c r="L1" s="46"/>
      <c r="M1" s="46"/>
      <c r="N1" s="46"/>
      <c r="O1" s="46"/>
      <c r="P1" s="46"/>
      <c r="Q1" s="46"/>
      <c r="R1" s="46"/>
      <c r="S1" s="46"/>
    </row>
    <row r="2" spans="1:19" s="37" customFormat="1" ht="8.1" customHeight="1"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208D7-5694-4EA1-9F57-31F47E4E6880}">
  <sheetPr>
    <tabColor theme="6"/>
  </sheetPr>
  <dimension ref="A1:O732"/>
  <sheetViews>
    <sheetView workbookViewId="0">
      <selection activeCell="L33" sqref="L33"/>
    </sheetView>
  </sheetViews>
  <sheetFormatPr baseColWidth="10" defaultColWidth="11.42578125" defaultRowHeight="15" x14ac:dyDescent="0.25"/>
  <cols>
    <col min="1" max="1" width="80.140625" style="20" customWidth="1"/>
    <col min="2" max="2" width="11.42578125" style="20"/>
    <col min="3" max="3" width="9.85546875" style="20" customWidth="1"/>
    <col min="4" max="4" width="11.85546875" bestFit="1" customWidth="1"/>
    <col min="5" max="5" width="23.140625" bestFit="1" customWidth="1"/>
    <col min="6" max="6" width="34.28515625" bestFit="1" customWidth="1"/>
    <col min="7" max="7" width="6.85546875" bestFit="1" customWidth="1"/>
    <col min="8" max="8" width="11.5703125" bestFit="1" customWidth="1"/>
    <col min="9" max="9" width="9.5703125" bestFit="1" customWidth="1"/>
    <col min="10" max="15" width="11.42578125" style="20"/>
  </cols>
  <sheetData>
    <row r="1" spans="1:9" s="21" customFormat="1" ht="73.5" customHeight="1" x14ac:dyDescent="0.25">
      <c r="A1" s="21" t="e" vm="1">
        <f>Variables!$A$1</f>
        <v>#VALUE!</v>
      </c>
    </row>
    <row r="2" spans="1:9" s="37" customFormat="1" ht="8.1" customHeight="1" x14ac:dyDescent="0.25"/>
    <row r="3" spans="1:9" x14ac:dyDescent="0.25">
      <c r="D3" t="s">
        <v>0</v>
      </c>
      <c r="E3" t="s">
        <v>1</v>
      </c>
      <c r="F3" t="s">
        <v>2</v>
      </c>
      <c r="G3" t="s">
        <v>3</v>
      </c>
      <c r="H3" t="s">
        <v>5</v>
      </c>
      <c r="I3" t="s">
        <v>7</v>
      </c>
    </row>
    <row r="4" spans="1:9" x14ac:dyDescent="0.25">
      <c r="D4">
        <v>1</v>
      </c>
      <c r="E4" t="s">
        <v>8</v>
      </c>
      <c r="F4" t="s">
        <v>9</v>
      </c>
      <c r="G4">
        <v>99</v>
      </c>
      <c r="H4">
        <v>261</v>
      </c>
      <c r="I4">
        <v>1539969</v>
      </c>
    </row>
    <row r="5" spans="1:9" x14ac:dyDescent="0.25">
      <c r="D5">
        <v>1</v>
      </c>
      <c r="E5" t="s">
        <v>12</v>
      </c>
      <c r="F5" t="s">
        <v>13</v>
      </c>
      <c r="G5">
        <v>171</v>
      </c>
      <c r="H5">
        <v>259</v>
      </c>
      <c r="I5">
        <v>1543549</v>
      </c>
    </row>
    <row r="6" spans="1:9" x14ac:dyDescent="0.25">
      <c r="D6">
        <v>1</v>
      </c>
      <c r="E6" t="s">
        <v>16</v>
      </c>
      <c r="F6" t="s">
        <v>17</v>
      </c>
      <c r="G6">
        <v>98</v>
      </c>
      <c r="H6">
        <v>283</v>
      </c>
      <c r="I6">
        <v>1536045</v>
      </c>
    </row>
    <row r="7" spans="1:9" x14ac:dyDescent="0.25">
      <c r="D7">
        <v>1</v>
      </c>
      <c r="E7" t="s">
        <v>20</v>
      </c>
      <c r="F7" t="s">
        <v>21</v>
      </c>
      <c r="G7">
        <v>122</v>
      </c>
      <c r="H7">
        <v>45</v>
      </c>
      <c r="I7">
        <v>1537325</v>
      </c>
    </row>
    <row r="8" spans="1:9" x14ac:dyDescent="0.25">
      <c r="D8">
        <v>1</v>
      </c>
      <c r="E8" t="s">
        <v>24</v>
      </c>
      <c r="F8" t="s">
        <v>25</v>
      </c>
      <c r="G8">
        <v>80</v>
      </c>
      <c r="H8">
        <v>179</v>
      </c>
      <c r="I8">
        <v>1548817</v>
      </c>
    </row>
    <row r="9" spans="1:9" x14ac:dyDescent="0.25">
      <c r="D9">
        <v>1</v>
      </c>
      <c r="E9" t="s">
        <v>24</v>
      </c>
      <c r="F9" t="s">
        <v>28</v>
      </c>
      <c r="G9">
        <v>72</v>
      </c>
      <c r="H9">
        <v>295</v>
      </c>
      <c r="I9">
        <v>1543963</v>
      </c>
    </row>
    <row r="10" spans="1:9" x14ac:dyDescent="0.25">
      <c r="D10">
        <v>1</v>
      </c>
      <c r="E10" t="s">
        <v>31</v>
      </c>
      <c r="F10" t="s">
        <v>32</v>
      </c>
      <c r="G10">
        <v>31</v>
      </c>
      <c r="H10">
        <v>328</v>
      </c>
      <c r="I10">
        <v>1540305</v>
      </c>
    </row>
    <row r="11" spans="1:9" x14ac:dyDescent="0.25">
      <c r="D11">
        <v>1</v>
      </c>
      <c r="E11" t="s">
        <v>35</v>
      </c>
      <c r="F11" t="s">
        <v>36</v>
      </c>
      <c r="G11">
        <v>5</v>
      </c>
      <c r="H11">
        <v>92</v>
      </c>
      <c r="I11">
        <v>1540353</v>
      </c>
    </row>
    <row r="12" spans="1:9" x14ac:dyDescent="0.25">
      <c r="D12">
        <v>1</v>
      </c>
      <c r="E12" t="s">
        <v>39</v>
      </c>
      <c r="F12" t="s">
        <v>40</v>
      </c>
      <c r="G12">
        <v>5</v>
      </c>
      <c r="H12">
        <v>17</v>
      </c>
    </row>
    <row r="13" spans="1:9" x14ac:dyDescent="0.25">
      <c r="D13">
        <v>1</v>
      </c>
      <c r="E13" t="s">
        <v>43</v>
      </c>
      <c r="F13" t="s">
        <v>44</v>
      </c>
      <c r="G13">
        <v>104</v>
      </c>
      <c r="H13">
        <v>18</v>
      </c>
      <c r="I13">
        <v>1551061</v>
      </c>
    </row>
    <row r="14" spans="1:9" x14ac:dyDescent="0.25">
      <c r="D14">
        <v>1</v>
      </c>
      <c r="E14" t="s">
        <v>35</v>
      </c>
      <c r="F14" t="s">
        <v>47</v>
      </c>
      <c r="G14">
        <v>77</v>
      </c>
      <c r="H14">
        <v>236</v>
      </c>
      <c r="I14">
        <v>1544218</v>
      </c>
    </row>
    <row r="15" spans="1:9" x14ac:dyDescent="0.25">
      <c r="D15">
        <v>1</v>
      </c>
      <c r="E15" t="s">
        <v>50</v>
      </c>
      <c r="F15" t="s">
        <v>51</v>
      </c>
      <c r="G15">
        <v>98</v>
      </c>
      <c r="H15">
        <v>316</v>
      </c>
      <c r="I15">
        <v>1544897</v>
      </c>
    </row>
    <row r="16" spans="1:9" x14ac:dyDescent="0.25">
      <c r="D16">
        <v>1</v>
      </c>
      <c r="E16" t="s">
        <v>54</v>
      </c>
      <c r="F16" t="s">
        <v>55</v>
      </c>
      <c r="G16">
        <v>98</v>
      </c>
      <c r="H16">
        <v>313</v>
      </c>
      <c r="I16">
        <v>1544928</v>
      </c>
    </row>
    <row r="17" spans="4:9" x14ac:dyDescent="0.25">
      <c r="D17">
        <v>1</v>
      </c>
      <c r="E17" t="s">
        <v>16</v>
      </c>
      <c r="F17" t="s">
        <v>58</v>
      </c>
      <c r="G17">
        <v>80</v>
      </c>
      <c r="H17">
        <v>311</v>
      </c>
      <c r="I17">
        <v>1551443</v>
      </c>
    </row>
    <row r="18" spans="4:9" x14ac:dyDescent="0.25">
      <c r="D18">
        <v>1</v>
      </c>
      <c r="E18" t="s">
        <v>16</v>
      </c>
      <c r="F18" t="s">
        <v>61</v>
      </c>
      <c r="G18">
        <v>80</v>
      </c>
      <c r="H18">
        <v>329</v>
      </c>
    </row>
    <row r="19" spans="4:9" x14ac:dyDescent="0.25">
      <c r="D19">
        <v>1</v>
      </c>
      <c r="E19" t="s">
        <v>64</v>
      </c>
      <c r="F19" t="s">
        <v>65</v>
      </c>
      <c r="G19">
        <v>99</v>
      </c>
      <c r="H19">
        <v>91</v>
      </c>
      <c r="I19">
        <v>1555098</v>
      </c>
    </row>
    <row r="20" spans="4:9" x14ac:dyDescent="0.25">
      <c r="D20">
        <v>1</v>
      </c>
      <c r="E20" t="s">
        <v>50</v>
      </c>
      <c r="F20" t="s">
        <v>68</v>
      </c>
      <c r="G20">
        <v>128</v>
      </c>
      <c r="H20">
        <v>30</v>
      </c>
      <c r="I20">
        <v>1555372</v>
      </c>
    </row>
    <row r="21" spans="4:9" x14ac:dyDescent="0.25">
      <c r="D21">
        <v>1</v>
      </c>
      <c r="E21" t="s">
        <v>50</v>
      </c>
      <c r="F21" t="s">
        <v>71</v>
      </c>
      <c r="G21">
        <v>54</v>
      </c>
      <c r="H21">
        <v>83</v>
      </c>
      <c r="I21">
        <v>1555537</v>
      </c>
    </row>
    <row r="22" spans="4:9" x14ac:dyDescent="0.25">
      <c r="D22">
        <v>1</v>
      </c>
      <c r="E22" t="s">
        <v>54</v>
      </c>
      <c r="F22" t="s">
        <v>74</v>
      </c>
      <c r="G22">
        <v>216</v>
      </c>
      <c r="H22">
        <v>81</v>
      </c>
      <c r="I22">
        <v>1556045</v>
      </c>
    </row>
    <row r="23" spans="4:9" x14ac:dyDescent="0.25">
      <c r="D23">
        <v>1</v>
      </c>
      <c r="E23" t="s">
        <v>16</v>
      </c>
      <c r="F23" t="s">
        <v>77</v>
      </c>
      <c r="G23">
        <v>216</v>
      </c>
      <c r="H23">
        <v>82</v>
      </c>
      <c r="I23">
        <v>1556049</v>
      </c>
    </row>
    <row r="24" spans="4:9" x14ac:dyDescent="0.25">
      <c r="D24">
        <v>1</v>
      </c>
      <c r="E24" t="s">
        <v>35</v>
      </c>
      <c r="F24" t="s">
        <v>80</v>
      </c>
      <c r="G24">
        <v>216</v>
      </c>
      <c r="H24">
        <v>84</v>
      </c>
      <c r="I24">
        <v>1556797</v>
      </c>
    </row>
    <row r="25" spans="4:9" x14ac:dyDescent="0.25">
      <c r="D25">
        <v>1</v>
      </c>
      <c r="E25" t="s">
        <v>35</v>
      </c>
      <c r="F25" t="s">
        <v>83</v>
      </c>
      <c r="G25">
        <v>216</v>
      </c>
      <c r="H25">
        <v>86</v>
      </c>
      <c r="I25">
        <v>1556860</v>
      </c>
    </row>
    <row r="26" spans="4:9" x14ac:dyDescent="0.25">
      <c r="D26">
        <v>1</v>
      </c>
      <c r="E26" t="s">
        <v>16</v>
      </c>
      <c r="F26" t="s">
        <v>86</v>
      </c>
      <c r="G26">
        <v>216</v>
      </c>
      <c r="H26">
        <v>87</v>
      </c>
      <c r="I26">
        <v>1556869</v>
      </c>
    </row>
    <row r="27" spans="4:9" x14ac:dyDescent="0.25">
      <c r="D27">
        <v>1</v>
      </c>
      <c r="E27" t="s">
        <v>35</v>
      </c>
      <c r="F27" t="s">
        <v>89</v>
      </c>
      <c r="G27">
        <v>33</v>
      </c>
      <c r="H27">
        <v>327</v>
      </c>
      <c r="I27">
        <v>1556873</v>
      </c>
    </row>
    <row r="28" spans="4:9" x14ac:dyDescent="0.25">
      <c r="D28">
        <v>1</v>
      </c>
      <c r="E28" t="s">
        <v>54</v>
      </c>
      <c r="F28" t="s">
        <v>92</v>
      </c>
      <c r="G28">
        <v>33</v>
      </c>
      <c r="H28">
        <v>315</v>
      </c>
      <c r="I28">
        <v>1559471</v>
      </c>
    </row>
    <row r="29" spans="4:9" x14ac:dyDescent="0.25">
      <c r="D29">
        <v>1</v>
      </c>
      <c r="E29" t="s">
        <v>16</v>
      </c>
      <c r="F29" t="s">
        <v>95</v>
      </c>
      <c r="G29">
        <v>216</v>
      </c>
      <c r="H29">
        <v>326</v>
      </c>
      <c r="I29">
        <v>1562164</v>
      </c>
    </row>
    <row r="30" spans="4:9" x14ac:dyDescent="0.25">
      <c r="D30">
        <v>1</v>
      </c>
      <c r="E30" t="s">
        <v>50</v>
      </c>
      <c r="F30" t="s">
        <v>98</v>
      </c>
      <c r="G30">
        <v>164</v>
      </c>
      <c r="H30">
        <v>235</v>
      </c>
      <c r="I30">
        <v>1563327</v>
      </c>
    </row>
    <row r="31" spans="4:9" x14ac:dyDescent="0.25">
      <c r="D31">
        <v>1</v>
      </c>
      <c r="E31" t="s">
        <v>50</v>
      </c>
      <c r="F31" t="s">
        <v>101</v>
      </c>
      <c r="G31">
        <v>212</v>
      </c>
      <c r="H31">
        <v>85</v>
      </c>
    </row>
    <row r="32" spans="4:9" x14ac:dyDescent="0.25">
      <c r="D32">
        <v>1</v>
      </c>
      <c r="E32" t="s">
        <v>35</v>
      </c>
      <c r="F32" t="s">
        <v>104</v>
      </c>
      <c r="G32">
        <v>14</v>
      </c>
      <c r="H32">
        <v>206</v>
      </c>
      <c r="I32">
        <v>1566437</v>
      </c>
    </row>
    <row r="33" spans="4:9" x14ac:dyDescent="0.25">
      <c r="D33">
        <v>1</v>
      </c>
      <c r="E33" t="s">
        <v>107</v>
      </c>
      <c r="F33" t="s">
        <v>108</v>
      </c>
      <c r="G33">
        <v>216</v>
      </c>
      <c r="H33">
        <v>169</v>
      </c>
      <c r="I33">
        <v>1566997</v>
      </c>
    </row>
    <row r="34" spans="4:9" x14ac:dyDescent="0.25">
      <c r="D34">
        <v>1</v>
      </c>
      <c r="E34" t="s">
        <v>43</v>
      </c>
      <c r="F34" t="s">
        <v>111</v>
      </c>
      <c r="G34">
        <v>72</v>
      </c>
      <c r="H34">
        <v>238</v>
      </c>
      <c r="I34">
        <v>1567361</v>
      </c>
    </row>
    <row r="35" spans="4:9" x14ac:dyDescent="0.25">
      <c r="D35">
        <v>1</v>
      </c>
      <c r="E35" t="s">
        <v>43</v>
      </c>
      <c r="F35" t="s">
        <v>114</v>
      </c>
      <c r="G35">
        <v>194</v>
      </c>
      <c r="H35">
        <v>34</v>
      </c>
      <c r="I35">
        <v>1569203</v>
      </c>
    </row>
    <row r="36" spans="4:9" x14ac:dyDescent="0.25">
      <c r="D36">
        <v>1</v>
      </c>
      <c r="E36" t="s">
        <v>64</v>
      </c>
      <c r="F36" t="s">
        <v>117</v>
      </c>
      <c r="G36">
        <v>54</v>
      </c>
      <c r="H36">
        <v>317</v>
      </c>
      <c r="I36">
        <v>1571506</v>
      </c>
    </row>
    <row r="37" spans="4:9" x14ac:dyDescent="0.25">
      <c r="D37">
        <v>1</v>
      </c>
      <c r="E37" t="s">
        <v>39</v>
      </c>
      <c r="F37" t="s">
        <v>120</v>
      </c>
      <c r="G37">
        <v>212</v>
      </c>
      <c r="H37">
        <v>56</v>
      </c>
      <c r="I37">
        <v>1571559</v>
      </c>
    </row>
    <row r="38" spans="4:9" x14ac:dyDescent="0.25">
      <c r="D38">
        <v>1</v>
      </c>
      <c r="E38" t="s">
        <v>35</v>
      </c>
      <c r="F38" t="s">
        <v>123</v>
      </c>
      <c r="G38">
        <v>93</v>
      </c>
      <c r="H38">
        <v>286</v>
      </c>
      <c r="I38">
        <v>1572318</v>
      </c>
    </row>
    <row r="39" spans="4:9" x14ac:dyDescent="0.25">
      <c r="D39">
        <v>1</v>
      </c>
      <c r="E39" t="s">
        <v>24</v>
      </c>
      <c r="F39" t="s">
        <v>126</v>
      </c>
      <c r="G39">
        <v>194</v>
      </c>
      <c r="H39">
        <v>241</v>
      </c>
    </row>
    <row r="40" spans="4:9" x14ac:dyDescent="0.25">
      <c r="D40">
        <v>1</v>
      </c>
      <c r="E40" t="s">
        <v>39</v>
      </c>
      <c r="F40" t="s">
        <v>126</v>
      </c>
      <c r="G40">
        <v>194</v>
      </c>
      <c r="H40">
        <v>240</v>
      </c>
      <c r="I40">
        <v>1572557</v>
      </c>
    </row>
    <row r="41" spans="4:9" x14ac:dyDescent="0.25">
      <c r="D41">
        <v>1</v>
      </c>
      <c r="E41" t="s">
        <v>20</v>
      </c>
      <c r="F41" t="s">
        <v>129</v>
      </c>
      <c r="G41">
        <v>151</v>
      </c>
      <c r="H41">
        <v>41</v>
      </c>
      <c r="I41">
        <v>1878353</v>
      </c>
    </row>
    <row r="42" spans="4:9" x14ac:dyDescent="0.25">
      <c r="D42">
        <v>1</v>
      </c>
      <c r="E42" t="s">
        <v>54</v>
      </c>
      <c r="F42" t="s">
        <v>132</v>
      </c>
      <c r="G42">
        <v>156</v>
      </c>
      <c r="H42">
        <v>40</v>
      </c>
      <c r="I42">
        <v>1878563</v>
      </c>
    </row>
    <row r="43" spans="4:9" x14ac:dyDescent="0.25">
      <c r="D43">
        <v>1</v>
      </c>
      <c r="E43" t="s">
        <v>16</v>
      </c>
      <c r="F43" t="s">
        <v>135</v>
      </c>
      <c r="G43">
        <v>151</v>
      </c>
      <c r="H43">
        <v>305</v>
      </c>
      <c r="I43">
        <v>1878625</v>
      </c>
    </row>
    <row r="44" spans="4:9" x14ac:dyDescent="0.25">
      <c r="D44">
        <v>1</v>
      </c>
      <c r="E44" t="s">
        <v>16</v>
      </c>
      <c r="F44" t="s">
        <v>138</v>
      </c>
      <c r="G44">
        <v>56</v>
      </c>
      <c r="H44">
        <v>102</v>
      </c>
      <c r="I44">
        <v>1878715</v>
      </c>
    </row>
    <row r="45" spans="4:9" x14ac:dyDescent="0.25">
      <c r="D45">
        <v>1</v>
      </c>
      <c r="E45" t="s">
        <v>35</v>
      </c>
      <c r="F45" t="s">
        <v>141</v>
      </c>
      <c r="G45">
        <v>56</v>
      </c>
      <c r="H45">
        <v>105</v>
      </c>
      <c r="I45">
        <v>1878716</v>
      </c>
    </row>
    <row r="46" spans="4:9" x14ac:dyDescent="0.25">
      <c r="D46">
        <v>1</v>
      </c>
      <c r="E46" t="s">
        <v>12</v>
      </c>
      <c r="F46" t="s">
        <v>144</v>
      </c>
      <c r="G46">
        <v>72</v>
      </c>
      <c r="H46">
        <v>98</v>
      </c>
      <c r="I46">
        <v>1880479</v>
      </c>
    </row>
    <row r="47" spans="4:9" x14ac:dyDescent="0.25">
      <c r="D47">
        <v>1</v>
      </c>
      <c r="E47" t="s">
        <v>54</v>
      </c>
      <c r="F47" t="s">
        <v>147</v>
      </c>
      <c r="G47">
        <v>216</v>
      </c>
      <c r="H47">
        <v>281</v>
      </c>
      <c r="I47">
        <v>1887714</v>
      </c>
    </row>
    <row r="48" spans="4:9" x14ac:dyDescent="0.25">
      <c r="D48">
        <v>1</v>
      </c>
      <c r="E48" t="s">
        <v>16</v>
      </c>
      <c r="F48" t="s">
        <v>150</v>
      </c>
      <c r="G48">
        <v>205</v>
      </c>
      <c r="H48">
        <v>90</v>
      </c>
      <c r="I48">
        <v>1887963</v>
      </c>
    </row>
    <row r="49" spans="4:9" x14ac:dyDescent="0.25">
      <c r="D49">
        <v>1</v>
      </c>
      <c r="E49" t="s">
        <v>43</v>
      </c>
      <c r="F49" t="s">
        <v>152</v>
      </c>
      <c r="G49">
        <v>57</v>
      </c>
      <c r="H49">
        <v>70</v>
      </c>
      <c r="I49">
        <v>1888993</v>
      </c>
    </row>
    <row r="50" spans="4:9" x14ac:dyDescent="0.25">
      <c r="D50">
        <v>1</v>
      </c>
      <c r="E50" t="s">
        <v>155</v>
      </c>
      <c r="F50" t="s">
        <v>156</v>
      </c>
      <c r="G50">
        <v>72</v>
      </c>
      <c r="H50">
        <v>181</v>
      </c>
      <c r="I50">
        <v>1891323</v>
      </c>
    </row>
    <row r="51" spans="4:9" x14ac:dyDescent="0.25">
      <c r="D51">
        <v>1</v>
      </c>
      <c r="E51" t="s">
        <v>43</v>
      </c>
      <c r="F51" t="s">
        <v>159</v>
      </c>
      <c r="G51">
        <v>113</v>
      </c>
      <c r="H51">
        <v>71</v>
      </c>
      <c r="I51">
        <v>1891498</v>
      </c>
    </row>
    <row r="52" spans="4:9" x14ac:dyDescent="0.25">
      <c r="D52">
        <v>1</v>
      </c>
      <c r="E52" t="s">
        <v>16</v>
      </c>
      <c r="F52" t="s">
        <v>161</v>
      </c>
      <c r="G52">
        <v>72</v>
      </c>
      <c r="H52">
        <v>287</v>
      </c>
      <c r="I52">
        <v>1893272</v>
      </c>
    </row>
    <row r="53" spans="4:9" x14ac:dyDescent="0.25">
      <c r="D53">
        <v>1</v>
      </c>
      <c r="E53" t="s">
        <v>12</v>
      </c>
      <c r="F53" t="s">
        <v>164</v>
      </c>
      <c r="G53">
        <v>113</v>
      </c>
      <c r="H53">
        <v>221</v>
      </c>
      <c r="I53">
        <v>1893845</v>
      </c>
    </row>
    <row r="54" spans="4:9" x14ac:dyDescent="0.25">
      <c r="D54">
        <v>1</v>
      </c>
      <c r="E54" t="s">
        <v>107</v>
      </c>
      <c r="F54" t="s">
        <v>166</v>
      </c>
      <c r="G54">
        <v>113</v>
      </c>
      <c r="H54">
        <v>223</v>
      </c>
      <c r="I54">
        <v>1893972</v>
      </c>
    </row>
    <row r="55" spans="4:9" x14ac:dyDescent="0.25">
      <c r="D55">
        <v>1</v>
      </c>
      <c r="E55" t="s">
        <v>20</v>
      </c>
      <c r="F55" t="s">
        <v>168</v>
      </c>
      <c r="G55">
        <v>113</v>
      </c>
      <c r="H55">
        <v>224</v>
      </c>
      <c r="I55">
        <v>1893995</v>
      </c>
    </row>
    <row r="56" spans="4:9" x14ac:dyDescent="0.25">
      <c r="D56">
        <v>1</v>
      </c>
      <c r="E56" t="s">
        <v>155</v>
      </c>
      <c r="F56" t="s">
        <v>170</v>
      </c>
      <c r="G56">
        <v>72</v>
      </c>
      <c r="H56">
        <v>115</v>
      </c>
      <c r="I56">
        <v>1895661</v>
      </c>
    </row>
    <row r="57" spans="4:9" x14ac:dyDescent="0.25">
      <c r="D57">
        <v>1</v>
      </c>
      <c r="E57" t="s">
        <v>107</v>
      </c>
      <c r="F57" t="s">
        <v>173</v>
      </c>
      <c r="G57">
        <v>72</v>
      </c>
      <c r="H57">
        <v>117</v>
      </c>
      <c r="I57">
        <v>1895672</v>
      </c>
    </row>
    <row r="58" spans="4:9" x14ac:dyDescent="0.25">
      <c r="D58">
        <v>1</v>
      </c>
      <c r="E58" t="s">
        <v>54</v>
      </c>
      <c r="F58" t="s">
        <v>176</v>
      </c>
      <c r="G58">
        <v>72</v>
      </c>
      <c r="H58">
        <v>126</v>
      </c>
      <c r="I58">
        <v>1895717</v>
      </c>
    </row>
    <row r="59" spans="4:9" x14ac:dyDescent="0.25">
      <c r="D59">
        <v>1</v>
      </c>
      <c r="E59" t="s">
        <v>35</v>
      </c>
      <c r="F59" t="s">
        <v>179</v>
      </c>
      <c r="G59">
        <v>82</v>
      </c>
      <c r="H59">
        <v>187</v>
      </c>
      <c r="I59">
        <v>1896230</v>
      </c>
    </row>
    <row r="60" spans="4:9" x14ac:dyDescent="0.25">
      <c r="D60">
        <v>1</v>
      </c>
      <c r="E60" t="s">
        <v>107</v>
      </c>
      <c r="F60" t="s">
        <v>181</v>
      </c>
      <c r="G60">
        <v>108</v>
      </c>
      <c r="H60">
        <v>151</v>
      </c>
      <c r="I60">
        <v>1896548</v>
      </c>
    </row>
    <row r="61" spans="4:9" x14ac:dyDescent="0.25">
      <c r="D61">
        <v>1</v>
      </c>
      <c r="E61" t="s">
        <v>183</v>
      </c>
      <c r="F61" t="s">
        <v>184</v>
      </c>
      <c r="G61">
        <v>108</v>
      </c>
      <c r="H61">
        <v>168</v>
      </c>
      <c r="I61">
        <v>1896735</v>
      </c>
    </row>
    <row r="62" spans="4:9" x14ac:dyDescent="0.25">
      <c r="D62">
        <v>1</v>
      </c>
      <c r="E62" t="s">
        <v>107</v>
      </c>
      <c r="F62" t="s">
        <v>186</v>
      </c>
      <c r="G62">
        <v>108</v>
      </c>
      <c r="H62">
        <v>176</v>
      </c>
      <c r="I62">
        <v>1896763</v>
      </c>
    </row>
    <row r="63" spans="4:9" x14ac:dyDescent="0.25">
      <c r="D63">
        <v>1</v>
      </c>
      <c r="E63" t="s">
        <v>8</v>
      </c>
      <c r="F63" t="s">
        <v>188</v>
      </c>
      <c r="G63">
        <v>108</v>
      </c>
      <c r="H63">
        <v>178</v>
      </c>
      <c r="I63">
        <v>1896765</v>
      </c>
    </row>
    <row r="64" spans="4:9" x14ac:dyDescent="0.25">
      <c r="D64">
        <v>1</v>
      </c>
      <c r="E64" t="s">
        <v>16</v>
      </c>
      <c r="F64" t="s">
        <v>190</v>
      </c>
      <c r="G64">
        <v>151</v>
      </c>
      <c r="H64">
        <v>27</v>
      </c>
      <c r="I64">
        <v>1898250</v>
      </c>
    </row>
    <row r="65" spans="4:9" x14ac:dyDescent="0.25">
      <c r="D65">
        <v>1</v>
      </c>
      <c r="E65" t="s">
        <v>24</v>
      </c>
      <c r="F65" t="s">
        <v>193</v>
      </c>
      <c r="G65">
        <v>53</v>
      </c>
      <c r="H65">
        <v>172</v>
      </c>
      <c r="I65">
        <v>1898499</v>
      </c>
    </row>
    <row r="66" spans="4:9" x14ac:dyDescent="0.25">
      <c r="D66">
        <v>1</v>
      </c>
      <c r="E66" t="s">
        <v>20</v>
      </c>
      <c r="F66" t="s">
        <v>196</v>
      </c>
      <c r="G66">
        <v>104</v>
      </c>
      <c r="H66">
        <v>209</v>
      </c>
      <c r="I66">
        <v>1899653</v>
      </c>
    </row>
    <row r="67" spans="4:9" x14ac:dyDescent="0.25">
      <c r="D67">
        <v>1</v>
      </c>
      <c r="E67" t="s">
        <v>35</v>
      </c>
      <c r="F67" t="s">
        <v>199</v>
      </c>
      <c r="G67">
        <v>60</v>
      </c>
      <c r="H67">
        <v>47</v>
      </c>
      <c r="I67">
        <v>1899666</v>
      </c>
    </row>
    <row r="68" spans="4:9" x14ac:dyDescent="0.25">
      <c r="D68">
        <v>1</v>
      </c>
      <c r="E68" t="s">
        <v>54</v>
      </c>
      <c r="F68" t="s">
        <v>202</v>
      </c>
      <c r="G68">
        <v>77</v>
      </c>
      <c r="H68">
        <v>210</v>
      </c>
      <c r="I68">
        <v>1899728</v>
      </c>
    </row>
    <row r="69" spans="4:9" x14ac:dyDescent="0.25">
      <c r="D69">
        <v>1</v>
      </c>
      <c r="E69" t="s">
        <v>16</v>
      </c>
      <c r="F69" t="s">
        <v>205</v>
      </c>
      <c r="G69">
        <v>68</v>
      </c>
      <c r="H69">
        <v>29</v>
      </c>
      <c r="I69">
        <v>1901284</v>
      </c>
    </row>
    <row r="70" spans="4:9" x14ac:dyDescent="0.25">
      <c r="D70">
        <v>1</v>
      </c>
      <c r="E70" t="s">
        <v>35</v>
      </c>
      <c r="F70" t="s">
        <v>208</v>
      </c>
      <c r="G70">
        <v>42</v>
      </c>
      <c r="H70">
        <v>134</v>
      </c>
      <c r="I70">
        <v>1901538</v>
      </c>
    </row>
    <row r="71" spans="4:9" x14ac:dyDescent="0.25">
      <c r="D71">
        <v>1</v>
      </c>
      <c r="E71" t="s">
        <v>64</v>
      </c>
      <c r="F71" t="s">
        <v>210</v>
      </c>
      <c r="G71">
        <v>42</v>
      </c>
      <c r="H71">
        <v>135</v>
      </c>
      <c r="I71">
        <v>1901545</v>
      </c>
    </row>
    <row r="72" spans="4:9" x14ac:dyDescent="0.25">
      <c r="D72">
        <v>1</v>
      </c>
      <c r="E72" t="s">
        <v>54</v>
      </c>
      <c r="F72" t="s">
        <v>212</v>
      </c>
      <c r="G72">
        <v>42</v>
      </c>
      <c r="H72">
        <v>138</v>
      </c>
      <c r="I72">
        <v>1901550</v>
      </c>
    </row>
    <row r="73" spans="4:9" x14ac:dyDescent="0.25">
      <c r="D73">
        <v>1</v>
      </c>
      <c r="E73" t="s">
        <v>16</v>
      </c>
      <c r="F73" t="s">
        <v>214</v>
      </c>
      <c r="G73">
        <v>42</v>
      </c>
      <c r="H73">
        <v>139</v>
      </c>
      <c r="I73">
        <v>1901556</v>
      </c>
    </row>
    <row r="74" spans="4:9" x14ac:dyDescent="0.25">
      <c r="D74">
        <v>1</v>
      </c>
      <c r="E74" t="s">
        <v>107</v>
      </c>
      <c r="F74" t="s">
        <v>216</v>
      </c>
      <c r="G74">
        <v>108</v>
      </c>
      <c r="H74">
        <v>230</v>
      </c>
      <c r="I74">
        <v>1902055</v>
      </c>
    </row>
    <row r="75" spans="4:9" x14ac:dyDescent="0.25">
      <c r="D75">
        <v>1</v>
      </c>
      <c r="E75" t="s">
        <v>12</v>
      </c>
      <c r="F75" t="s">
        <v>218</v>
      </c>
      <c r="G75">
        <v>108</v>
      </c>
      <c r="H75">
        <v>231</v>
      </c>
      <c r="I75">
        <v>1902081</v>
      </c>
    </row>
    <row r="76" spans="4:9" x14ac:dyDescent="0.25">
      <c r="D76">
        <v>1</v>
      </c>
      <c r="E76" t="s">
        <v>39</v>
      </c>
      <c r="F76" t="s">
        <v>220</v>
      </c>
      <c r="G76">
        <v>113</v>
      </c>
      <c r="H76">
        <v>1</v>
      </c>
      <c r="I76">
        <v>1902135</v>
      </c>
    </row>
    <row r="77" spans="4:9" x14ac:dyDescent="0.25">
      <c r="D77">
        <v>1</v>
      </c>
      <c r="E77" t="s">
        <v>20</v>
      </c>
      <c r="F77" t="s">
        <v>222</v>
      </c>
      <c r="G77">
        <v>113</v>
      </c>
      <c r="H77">
        <v>2</v>
      </c>
      <c r="I77">
        <v>1902147</v>
      </c>
    </row>
    <row r="78" spans="4:9" x14ac:dyDescent="0.25">
      <c r="D78">
        <v>1</v>
      </c>
      <c r="E78" t="s">
        <v>39</v>
      </c>
      <c r="F78" t="s">
        <v>224</v>
      </c>
      <c r="G78">
        <v>42</v>
      </c>
      <c r="H78">
        <v>275</v>
      </c>
      <c r="I78">
        <v>1902295</v>
      </c>
    </row>
    <row r="79" spans="4:9" x14ac:dyDescent="0.25">
      <c r="D79">
        <v>1</v>
      </c>
      <c r="E79" t="s">
        <v>20</v>
      </c>
      <c r="F79" t="s">
        <v>226</v>
      </c>
      <c r="G79">
        <v>42</v>
      </c>
      <c r="H79">
        <v>276</v>
      </c>
      <c r="I79">
        <v>1902307</v>
      </c>
    </row>
    <row r="80" spans="4:9" x14ac:dyDescent="0.25">
      <c r="D80">
        <v>1</v>
      </c>
      <c r="E80" t="s">
        <v>50</v>
      </c>
      <c r="F80" t="s">
        <v>228</v>
      </c>
      <c r="G80">
        <v>200</v>
      </c>
      <c r="H80">
        <v>284</v>
      </c>
      <c r="I80">
        <v>1902841</v>
      </c>
    </row>
    <row r="81" spans="4:9" x14ac:dyDescent="0.25">
      <c r="D81">
        <v>1</v>
      </c>
      <c r="E81" t="s">
        <v>35</v>
      </c>
      <c r="F81" t="s">
        <v>231</v>
      </c>
      <c r="G81">
        <v>33</v>
      </c>
      <c r="H81">
        <v>309</v>
      </c>
      <c r="I81">
        <v>1903011</v>
      </c>
    </row>
    <row r="82" spans="4:9" x14ac:dyDescent="0.25">
      <c r="D82">
        <v>1</v>
      </c>
      <c r="E82" t="s">
        <v>35</v>
      </c>
      <c r="F82" t="s">
        <v>234</v>
      </c>
      <c r="G82">
        <v>20</v>
      </c>
      <c r="H82">
        <v>64</v>
      </c>
      <c r="I82">
        <v>1903112</v>
      </c>
    </row>
    <row r="83" spans="4:9" x14ac:dyDescent="0.25">
      <c r="D83">
        <v>1</v>
      </c>
      <c r="E83" t="s">
        <v>183</v>
      </c>
      <c r="F83" t="s">
        <v>236</v>
      </c>
      <c r="G83">
        <v>20</v>
      </c>
      <c r="H83">
        <v>120</v>
      </c>
      <c r="I83">
        <v>1903136</v>
      </c>
    </row>
    <row r="84" spans="4:9" x14ac:dyDescent="0.25">
      <c r="D84">
        <v>1</v>
      </c>
      <c r="E84" t="s">
        <v>20</v>
      </c>
      <c r="F84" t="s">
        <v>236</v>
      </c>
      <c r="G84">
        <v>20</v>
      </c>
      <c r="H84">
        <v>118</v>
      </c>
      <c r="I84">
        <v>1903136</v>
      </c>
    </row>
    <row r="85" spans="4:9" x14ac:dyDescent="0.25">
      <c r="D85">
        <v>1</v>
      </c>
      <c r="E85" t="s">
        <v>54</v>
      </c>
      <c r="F85" t="s">
        <v>239</v>
      </c>
      <c r="G85">
        <v>113</v>
      </c>
      <c r="H85">
        <v>285</v>
      </c>
      <c r="I85">
        <v>1904038</v>
      </c>
    </row>
    <row r="86" spans="4:9" x14ac:dyDescent="0.25">
      <c r="D86">
        <v>1</v>
      </c>
      <c r="E86" t="s">
        <v>50</v>
      </c>
      <c r="F86" t="s">
        <v>241</v>
      </c>
      <c r="G86">
        <v>113</v>
      </c>
      <c r="H86">
        <v>280</v>
      </c>
      <c r="I86">
        <v>1904040</v>
      </c>
    </row>
    <row r="87" spans="4:9" x14ac:dyDescent="0.25">
      <c r="D87">
        <v>1</v>
      </c>
      <c r="E87" t="s">
        <v>35</v>
      </c>
      <c r="F87" t="s">
        <v>243</v>
      </c>
      <c r="G87">
        <v>66</v>
      </c>
      <c r="H87">
        <v>36</v>
      </c>
      <c r="I87">
        <v>1904099</v>
      </c>
    </row>
    <row r="88" spans="4:9" x14ac:dyDescent="0.25">
      <c r="D88">
        <v>1</v>
      </c>
      <c r="E88" t="s">
        <v>24</v>
      </c>
      <c r="F88" t="s">
        <v>246</v>
      </c>
      <c r="G88">
        <v>77</v>
      </c>
      <c r="H88">
        <v>296</v>
      </c>
      <c r="I88">
        <v>1904251</v>
      </c>
    </row>
    <row r="89" spans="4:9" x14ac:dyDescent="0.25">
      <c r="D89">
        <v>1</v>
      </c>
      <c r="E89" t="s">
        <v>8</v>
      </c>
      <c r="F89" t="s">
        <v>249</v>
      </c>
      <c r="G89">
        <v>77</v>
      </c>
      <c r="H89">
        <v>219</v>
      </c>
      <c r="I89">
        <v>1904430</v>
      </c>
    </row>
    <row r="90" spans="4:9" x14ac:dyDescent="0.25">
      <c r="D90">
        <v>1</v>
      </c>
      <c r="E90" t="s">
        <v>155</v>
      </c>
      <c r="F90" t="s">
        <v>252</v>
      </c>
      <c r="G90">
        <v>77</v>
      </c>
      <c r="H90">
        <v>294</v>
      </c>
      <c r="I90">
        <v>1904745</v>
      </c>
    </row>
    <row r="91" spans="4:9" x14ac:dyDescent="0.25">
      <c r="D91">
        <v>1</v>
      </c>
      <c r="E91" t="s">
        <v>255</v>
      </c>
      <c r="F91" t="s">
        <v>256</v>
      </c>
      <c r="G91">
        <v>93</v>
      </c>
      <c r="H91">
        <v>264</v>
      </c>
      <c r="I91">
        <v>1904977</v>
      </c>
    </row>
    <row r="92" spans="4:9" x14ac:dyDescent="0.25">
      <c r="D92">
        <v>1</v>
      </c>
      <c r="E92" t="s">
        <v>20</v>
      </c>
      <c r="F92" t="s">
        <v>259</v>
      </c>
      <c r="G92">
        <v>93</v>
      </c>
      <c r="H92">
        <v>267</v>
      </c>
      <c r="I92">
        <v>1905860</v>
      </c>
    </row>
    <row r="93" spans="4:9" x14ac:dyDescent="0.25">
      <c r="D93">
        <v>1</v>
      </c>
      <c r="E93" t="s">
        <v>20</v>
      </c>
      <c r="F93" t="s">
        <v>262</v>
      </c>
      <c r="G93">
        <v>82</v>
      </c>
      <c r="H93">
        <v>196</v>
      </c>
      <c r="I93">
        <v>1906515</v>
      </c>
    </row>
    <row r="94" spans="4:9" x14ac:dyDescent="0.25">
      <c r="D94">
        <v>1</v>
      </c>
      <c r="E94" t="s">
        <v>183</v>
      </c>
      <c r="F94" t="s">
        <v>265</v>
      </c>
      <c r="G94">
        <v>82</v>
      </c>
      <c r="H94">
        <v>260</v>
      </c>
      <c r="I94">
        <v>1907192</v>
      </c>
    </row>
    <row r="95" spans="4:9" x14ac:dyDescent="0.25">
      <c r="D95">
        <v>1</v>
      </c>
      <c r="E95" t="s">
        <v>20</v>
      </c>
      <c r="F95" t="s">
        <v>268</v>
      </c>
      <c r="G95">
        <v>59</v>
      </c>
      <c r="H95">
        <v>59</v>
      </c>
      <c r="I95">
        <v>1908333</v>
      </c>
    </row>
    <row r="96" spans="4:9" x14ac:dyDescent="0.25">
      <c r="D96">
        <v>1</v>
      </c>
      <c r="E96" t="s">
        <v>35</v>
      </c>
      <c r="F96" t="s">
        <v>271</v>
      </c>
      <c r="G96">
        <v>93</v>
      </c>
      <c r="H96">
        <v>184</v>
      </c>
      <c r="I96">
        <v>1909030</v>
      </c>
    </row>
    <row r="97" spans="4:9" x14ac:dyDescent="0.25">
      <c r="D97">
        <v>1</v>
      </c>
      <c r="E97" t="s">
        <v>24</v>
      </c>
      <c r="F97" t="s">
        <v>274</v>
      </c>
      <c r="G97">
        <v>72</v>
      </c>
      <c r="H97">
        <v>266</v>
      </c>
      <c r="I97">
        <v>1909294</v>
      </c>
    </row>
    <row r="98" spans="4:9" x14ac:dyDescent="0.25">
      <c r="D98">
        <v>1</v>
      </c>
      <c r="E98" t="s">
        <v>107</v>
      </c>
      <c r="F98" t="s">
        <v>274</v>
      </c>
      <c r="G98">
        <v>72</v>
      </c>
      <c r="H98">
        <v>270</v>
      </c>
      <c r="I98">
        <v>1909294</v>
      </c>
    </row>
    <row r="99" spans="4:9" x14ac:dyDescent="0.25">
      <c r="D99">
        <v>1</v>
      </c>
      <c r="E99" t="s">
        <v>24</v>
      </c>
      <c r="F99" t="s">
        <v>274</v>
      </c>
      <c r="G99">
        <v>72</v>
      </c>
      <c r="H99">
        <v>268</v>
      </c>
      <c r="I99">
        <v>1909294</v>
      </c>
    </row>
    <row r="100" spans="4:9" x14ac:dyDescent="0.25">
      <c r="D100">
        <v>1</v>
      </c>
      <c r="E100" t="s">
        <v>155</v>
      </c>
      <c r="F100" t="s">
        <v>274</v>
      </c>
      <c r="G100">
        <v>72</v>
      </c>
      <c r="H100">
        <v>269</v>
      </c>
      <c r="I100">
        <v>1909294</v>
      </c>
    </row>
    <row r="101" spans="4:9" x14ac:dyDescent="0.25">
      <c r="D101">
        <v>1</v>
      </c>
      <c r="E101" t="s">
        <v>16</v>
      </c>
      <c r="F101" t="s">
        <v>277</v>
      </c>
      <c r="G101">
        <v>110</v>
      </c>
      <c r="H101">
        <v>25</v>
      </c>
      <c r="I101">
        <v>1910412</v>
      </c>
    </row>
    <row r="102" spans="4:9" x14ac:dyDescent="0.25">
      <c r="D102">
        <v>1</v>
      </c>
      <c r="E102" t="s">
        <v>16</v>
      </c>
      <c r="F102" t="s">
        <v>280</v>
      </c>
      <c r="G102">
        <v>110</v>
      </c>
      <c r="H102">
        <v>49</v>
      </c>
      <c r="I102">
        <v>1910451</v>
      </c>
    </row>
    <row r="103" spans="4:9" x14ac:dyDescent="0.25">
      <c r="D103">
        <v>1</v>
      </c>
      <c r="E103" t="s">
        <v>43</v>
      </c>
      <c r="F103" t="s">
        <v>283</v>
      </c>
      <c r="G103">
        <v>110</v>
      </c>
      <c r="H103">
        <v>50</v>
      </c>
      <c r="I103">
        <v>1910560</v>
      </c>
    </row>
    <row r="104" spans="4:9" x14ac:dyDescent="0.25">
      <c r="D104">
        <v>1</v>
      </c>
      <c r="E104" t="s">
        <v>35</v>
      </c>
      <c r="F104" t="s">
        <v>283</v>
      </c>
      <c r="G104">
        <v>110</v>
      </c>
      <c r="H104">
        <v>51</v>
      </c>
      <c r="I104">
        <v>1910560</v>
      </c>
    </row>
    <row r="105" spans="4:9" x14ac:dyDescent="0.25">
      <c r="D105">
        <v>1</v>
      </c>
      <c r="E105" t="s">
        <v>50</v>
      </c>
      <c r="F105" t="s">
        <v>286</v>
      </c>
      <c r="G105">
        <v>106</v>
      </c>
      <c r="H105">
        <v>38</v>
      </c>
      <c r="I105">
        <v>1912322</v>
      </c>
    </row>
    <row r="106" spans="4:9" x14ac:dyDescent="0.25">
      <c r="D106">
        <v>1</v>
      </c>
      <c r="E106" t="s">
        <v>12</v>
      </c>
      <c r="F106" t="s">
        <v>289</v>
      </c>
      <c r="G106">
        <v>77</v>
      </c>
      <c r="H106">
        <v>116</v>
      </c>
      <c r="I106">
        <v>1912546</v>
      </c>
    </row>
    <row r="107" spans="4:9" x14ac:dyDescent="0.25">
      <c r="D107">
        <v>1</v>
      </c>
      <c r="E107" t="s">
        <v>12</v>
      </c>
      <c r="F107" t="s">
        <v>292</v>
      </c>
      <c r="G107">
        <v>42</v>
      </c>
      <c r="H107">
        <v>215</v>
      </c>
      <c r="I107">
        <v>1913899</v>
      </c>
    </row>
    <row r="108" spans="4:9" x14ac:dyDescent="0.25">
      <c r="D108">
        <v>1</v>
      </c>
      <c r="E108" t="s">
        <v>107</v>
      </c>
      <c r="F108" t="s">
        <v>294</v>
      </c>
      <c r="G108">
        <v>42</v>
      </c>
      <c r="H108">
        <v>217</v>
      </c>
      <c r="I108">
        <v>1913907</v>
      </c>
    </row>
    <row r="109" spans="4:9" x14ac:dyDescent="0.25">
      <c r="D109">
        <v>1</v>
      </c>
      <c r="E109" t="s">
        <v>43</v>
      </c>
      <c r="F109" t="s">
        <v>296</v>
      </c>
      <c r="G109">
        <v>42</v>
      </c>
      <c r="H109">
        <v>218</v>
      </c>
      <c r="I109">
        <v>1913913</v>
      </c>
    </row>
    <row r="110" spans="4:9" x14ac:dyDescent="0.25">
      <c r="D110">
        <v>1</v>
      </c>
      <c r="E110" t="s">
        <v>255</v>
      </c>
      <c r="F110" t="s">
        <v>298</v>
      </c>
      <c r="G110">
        <v>42</v>
      </c>
      <c r="H110">
        <v>216</v>
      </c>
      <c r="I110">
        <v>1913922</v>
      </c>
    </row>
    <row r="111" spans="4:9" x14ac:dyDescent="0.25">
      <c r="D111">
        <v>1</v>
      </c>
      <c r="E111" t="s">
        <v>64</v>
      </c>
      <c r="F111" t="s">
        <v>300</v>
      </c>
      <c r="G111">
        <v>82</v>
      </c>
      <c r="H111">
        <v>147</v>
      </c>
      <c r="I111">
        <v>1914912</v>
      </c>
    </row>
    <row r="112" spans="4:9" x14ac:dyDescent="0.25">
      <c r="D112">
        <v>1</v>
      </c>
      <c r="E112" t="s">
        <v>12</v>
      </c>
      <c r="F112" t="s">
        <v>303</v>
      </c>
      <c r="G112">
        <v>82</v>
      </c>
      <c r="H112">
        <v>143</v>
      </c>
      <c r="I112">
        <v>1914921</v>
      </c>
    </row>
    <row r="113" spans="4:9" x14ac:dyDescent="0.25">
      <c r="D113">
        <v>1</v>
      </c>
      <c r="E113" t="s">
        <v>12</v>
      </c>
      <c r="F113" t="s">
        <v>306</v>
      </c>
      <c r="G113">
        <v>72</v>
      </c>
      <c r="H113">
        <v>150</v>
      </c>
      <c r="I113">
        <v>1916223</v>
      </c>
    </row>
    <row r="114" spans="4:9" x14ac:dyDescent="0.25">
      <c r="D114">
        <v>1</v>
      </c>
      <c r="E114" t="s">
        <v>24</v>
      </c>
      <c r="F114" t="s">
        <v>309</v>
      </c>
      <c r="G114">
        <v>9</v>
      </c>
      <c r="H114">
        <v>113</v>
      </c>
      <c r="I114">
        <v>1916809</v>
      </c>
    </row>
    <row r="115" spans="4:9" x14ac:dyDescent="0.25">
      <c r="D115">
        <v>1</v>
      </c>
      <c r="E115" t="s">
        <v>16</v>
      </c>
      <c r="F115" t="s">
        <v>312</v>
      </c>
      <c r="G115">
        <v>42</v>
      </c>
      <c r="H115">
        <v>310</v>
      </c>
      <c r="I115">
        <v>1918369</v>
      </c>
    </row>
    <row r="116" spans="4:9" x14ac:dyDescent="0.25">
      <c r="D116">
        <v>1</v>
      </c>
      <c r="E116" t="s">
        <v>50</v>
      </c>
      <c r="F116" t="s">
        <v>314</v>
      </c>
      <c r="G116">
        <v>42</v>
      </c>
      <c r="H116">
        <v>307</v>
      </c>
      <c r="I116">
        <v>1918372</v>
      </c>
    </row>
    <row r="117" spans="4:9" x14ac:dyDescent="0.25">
      <c r="D117">
        <v>1</v>
      </c>
      <c r="E117" t="s">
        <v>31</v>
      </c>
      <c r="F117" t="s">
        <v>316</v>
      </c>
      <c r="G117">
        <v>42</v>
      </c>
      <c r="H117">
        <v>306</v>
      </c>
      <c r="I117">
        <v>1918376</v>
      </c>
    </row>
    <row r="118" spans="4:9" x14ac:dyDescent="0.25">
      <c r="D118">
        <v>1</v>
      </c>
      <c r="E118" t="s">
        <v>50</v>
      </c>
      <c r="F118" t="s">
        <v>318</v>
      </c>
      <c r="G118">
        <v>42</v>
      </c>
      <c r="H118">
        <v>302</v>
      </c>
      <c r="I118">
        <v>1918377</v>
      </c>
    </row>
    <row r="119" spans="4:9" x14ac:dyDescent="0.25">
      <c r="D119">
        <v>1</v>
      </c>
      <c r="E119" t="s">
        <v>54</v>
      </c>
      <c r="F119" t="s">
        <v>320</v>
      </c>
      <c r="G119">
        <v>42</v>
      </c>
      <c r="H119">
        <v>303</v>
      </c>
      <c r="I119">
        <v>1918379</v>
      </c>
    </row>
    <row r="120" spans="4:9" x14ac:dyDescent="0.25">
      <c r="D120">
        <v>1</v>
      </c>
      <c r="E120" t="s">
        <v>39</v>
      </c>
      <c r="F120" t="s">
        <v>322</v>
      </c>
      <c r="G120">
        <v>42</v>
      </c>
      <c r="H120">
        <v>10</v>
      </c>
      <c r="I120">
        <v>1918856</v>
      </c>
    </row>
    <row r="121" spans="4:9" x14ac:dyDescent="0.25">
      <c r="D121">
        <v>1</v>
      </c>
      <c r="E121" t="s">
        <v>43</v>
      </c>
      <c r="F121" t="s">
        <v>324</v>
      </c>
      <c r="G121">
        <v>42</v>
      </c>
      <c r="H121">
        <v>12</v>
      </c>
      <c r="I121">
        <v>1918865</v>
      </c>
    </row>
    <row r="122" spans="4:9" x14ac:dyDescent="0.25">
      <c r="D122">
        <v>1</v>
      </c>
      <c r="E122" t="s">
        <v>255</v>
      </c>
      <c r="F122" t="s">
        <v>326</v>
      </c>
      <c r="G122">
        <v>42</v>
      </c>
      <c r="H122">
        <v>65</v>
      </c>
      <c r="I122">
        <v>1919002</v>
      </c>
    </row>
    <row r="123" spans="4:9" x14ac:dyDescent="0.25">
      <c r="D123">
        <v>1</v>
      </c>
      <c r="E123" t="s">
        <v>24</v>
      </c>
      <c r="F123" t="s">
        <v>328</v>
      </c>
      <c r="G123">
        <v>108</v>
      </c>
      <c r="H123">
        <v>7</v>
      </c>
      <c r="I123">
        <v>1919480</v>
      </c>
    </row>
    <row r="124" spans="4:9" x14ac:dyDescent="0.25">
      <c r="D124">
        <v>1</v>
      </c>
      <c r="E124" t="s">
        <v>43</v>
      </c>
      <c r="F124" t="s">
        <v>328</v>
      </c>
      <c r="G124">
        <v>108</v>
      </c>
      <c r="H124">
        <v>13</v>
      </c>
      <c r="I124">
        <v>1919480</v>
      </c>
    </row>
    <row r="125" spans="4:9" x14ac:dyDescent="0.25">
      <c r="D125">
        <v>1</v>
      </c>
      <c r="E125" t="s">
        <v>16</v>
      </c>
      <c r="F125" t="s">
        <v>330</v>
      </c>
      <c r="G125">
        <v>108</v>
      </c>
      <c r="H125">
        <v>63</v>
      </c>
      <c r="I125">
        <v>1919914</v>
      </c>
    </row>
    <row r="126" spans="4:9" x14ac:dyDescent="0.25">
      <c r="D126">
        <v>1</v>
      </c>
      <c r="E126" t="s">
        <v>35</v>
      </c>
      <c r="F126" t="s">
        <v>332</v>
      </c>
      <c r="G126">
        <v>82</v>
      </c>
      <c r="H126">
        <v>60</v>
      </c>
      <c r="I126">
        <v>1920183</v>
      </c>
    </row>
    <row r="127" spans="4:9" x14ac:dyDescent="0.25">
      <c r="D127">
        <v>1</v>
      </c>
      <c r="E127" t="s">
        <v>24</v>
      </c>
      <c r="F127" t="s">
        <v>335</v>
      </c>
      <c r="G127">
        <v>42</v>
      </c>
      <c r="H127">
        <v>112</v>
      </c>
      <c r="I127">
        <v>1920569</v>
      </c>
    </row>
    <row r="128" spans="4:9" x14ac:dyDescent="0.25">
      <c r="D128">
        <v>1</v>
      </c>
      <c r="E128" t="s">
        <v>43</v>
      </c>
      <c r="F128" t="s">
        <v>337</v>
      </c>
      <c r="G128">
        <v>77</v>
      </c>
      <c r="H128">
        <v>48</v>
      </c>
      <c r="I128">
        <v>1924429</v>
      </c>
    </row>
    <row r="129" spans="4:9" x14ac:dyDescent="0.25">
      <c r="D129">
        <v>1</v>
      </c>
      <c r="E129" t="s">
        <v>255</v>
      </c>
      <c r="F129" t="s">
        <v>340</v>
      </c>
      <c r="G129">
        <v>104</v>
      </c>
      <c r="H129">
        <v>173</v>
      </c>
      <c r="I129">
        <v>1925349</v>
      </c>
    </row>
    <row r="130" spans="4:9" x14ac:dyDescent="0.25">
      <c r="D130">
        <v>1</v>
      </c>
      <c r="E130" t="s">
        <v>107</v>
      </c>
      <c r="F130" t="s">
        <v>343</v>
      </c>
      <c r="G130">
        <v>104</v>
      </c>
      <c r="H130">
        <v>265</v>
      </c>
      <c r="I130">
        <v>1925633</v>
      </c>
    </row>
    <row r="131" spans="4:9" x14ac:dyDescent="0.25">
      <c r="D131">
        <v>1</v>
      </c>
      <c r="E131" t="s">
        <v>12</v>
      </c>
      <c r="F131" t="s">
        <v>346</v>
      </c>
      <c r="G131">
        <v>104</v>
      </c>
      <c r="H131">
        <v>263</v>
      </c>
      <c r="I131">
        <v>1925635</v>
      </c>
    </row>
    <row r="132" spans="4:9" x14ac:dyDescent="0.25">
      <c r="D132">
        <v>1</v>
      </c>
      <c r="E132" t="s">
        <v>64</v>
      </c>
      <c r="F132" t="s">
        <v>349</v>
      </c>
      <c r="G132">
        <v>31</v>
      </c>
      <c r="H132">
        <v>53</v>
      </c>
      <c r="I132">
        <v>1926102</v>
      </c>
    </row>
    <row r="133" spans="4:9" x14ac:dyDescent="0.25">
      <c r="D133">
        <v>1</v>
      </c>
      <c r="E133" t="s">
        <v>16</v>
      </c>
      <c r="F133" t="s">
        <v>352</v>
      </c>
      <c r="G133">
        <v>153</v>
      </c>
      <c r="H133">
        <v>33</v>
      </c>
      <c r="I133">
        <v>1926713</v>
      </c>
    </row>
    <row r="134" spans="4:9" x14ac:dyDescent="0.25">
      <c r="D134">
        <v>1</v>
      </c>
      <c r="E134" t="s">
        <v>16</v>
      </c>
      <c r="F134" t="s">
        <v>355</v>
      </c>
      <c r="G134">
        <v>42</v>
      </c>
      <c r="H134">
        <v>93</v>
      </c>
      <c r="I134">
        <v>1926826</v>
      </c>
    </row>
    <row r="135" spans="4:9" x14ac:dyDescent="0.25">
      <c r="D135">
        <v>1</v>
      </c>
      <c r="E135" t="s">
        <v>54</v>
      </c>
      <c r="F135" t="s">
        <v>357</v>
      </c>
      <c r="G135">
        <v>42</v>
      </c>
      <c r="H135">
        <v>89</v>
      </c>
      <c r="I135">
        <v>1926832</v>
      </c>
    </row>
    <row r="136" spans="4:9" x14ac:dyDescent="0.25">
      <c r="D136">
        <v>1</v>
      </c>
      <c r="E136" t="s">
        <v>35</v>
      </c>
      <c r="F136" t="s">
        <v>359</v>
      </c>
      <c r="G136">
        <v>42</v>
      </c>
      <c r="H136">
        <v>88</v>
      </c>
      <c r="I136">
        <v>1926833</v>
      </c>
    </row>
    <row r="137" spans="4:9" x14ac:dyDescent="0.25">
      <c r="D137">
        <v>1</v>
      </c>
      <c r="E137" t="s">
        <v>183</v>
      </c>
      <c r="F137" t="s">
        <v>361</v>
      </c>
      <c r="G137">
        <v>113</v>
      </c>
      <c r="H137">
        <v>153</v>
      </c>
      <c r="I137">
        <v>1927149</v>
      </c>
    </row>
    <row r="138" spans="4:9" x14ac:dyDescent="0.25">
      <c r="D138">
        <v>1</v>
      </c>
      <c r="E138" t="s">
        <v>20</v>
      </c>
      <c r="F138" t="s">
        <v>363</v>
      </c>
      <c r="G138">
        <v>102</v>
      </c>
      <c r="H138">
        <v>205</v>
      </c>
      <c r="I138">
        <v>1927680</v>
      </c>
    </row>
    <row r="139" spans="4:9" x14ac:dyDescent="0.25">
      <c r="D139">
        <v>1</v>
      </c>
      <c r="E139" t="s">
        <v>20</v>
      </c>
      <c r="F139" t="s">
        <v>366</v>
      </c>
      <c r="G139">
        <v>42</v>
      </c>
      <c r="H139">
        <v>289</v>
      </c>
      <c r="I139">
        <v>1927709</v>
      </c>
    </row>
    <row r="140" spans="4:9" x14ac:dyDescent="0.25">
      <c r="D140">
        <v>1</v>
      </c>
      <c r="E140" t="s">
        <v>255</v>
      </c>
      <c r="F140" t="s">
        <v>368</v>
      </c>
      <c r="G140">
        <v>61</v>
      </c>
      <c r="H140">
        <v>42</v>
      </c>
      <c r="I140">
        <v>1929767</v>
      </c>
    </row>
    <row r="141" spans="4:9" x14ac:dyDescent="0.25">
      <c r="D141">
        <v>1</v>
      </c>
      <c r="E141" t="s">
        <v>16</v>
      </c>
      <c r="F141" t="s">
        <v>371</v>
      </c>
      <c r="G141">
        <v>62</v>
      </c>
      <c r="H141">
        <v>186</v>
      </c>
      <c r="I141">
        <v>1932649</v>
      </c>
    </row>
    <row r="142" spans="4:9" x14ac:dyDescent="0.25">
      <c r="D142">
        <v>1</v>
      </c>
      <c r="E142" t="s">
        <v>183</v>
      </c>
      <c r="F142" t="s">
        <v>374</v>
      </c>
      <c r="G142">
        <v>109</v>
      </c>
      <c r="H142">
        <v>175</v>
      </c>
      <c r="I142">
        <v>1935408</v>
      </c>
    </row>
    <row r="143" spans="4:9" x14ac:dyDescent="0.25">
      <c r="D143">
        <v>1</v>
      </c>
      <c r="E143" t="s">
        <v>31</v>
      </c>
      <c r="F143" t="s">
        <v>377</v>
      </c>
      <c r="G143">
        <v>93</v>
      </c>
      <c r="H143">
        <v>185</v>
      </c>
      <c r="I143">
        <v>1936619</v>
      </c>
    </row>
    <row r="145" spans="4:9" x14ac:dyDescent="0.25">
      <c r="D145">
        <v>1</v>
      </c>
      <c r="E145" t="s">
        <v>54</v>
      </c>
      <c r="F145" t="s">
        <v>380</v>
      </c>
      <c r="G145">
        <v>29</v>
      </c>
      <c r="H145">
        <v>23</v>
      </c>
      <c r="I145">
        <v>1936983</v>
      </c>
    </row>
    <row r="146" spans="4:9" x14ac:dyDescent="0.25">
      <c r="D146">
        <v>1</v>
      </c>
      <c r="E146" t="s">
        <v>155</v>
      </c>
      <c r="F146" t="s">
        <v>383</v>
      </c>
      <c r="G146">
        <v>3</v>
      </c>
      <c r="H146">
        <v>293</v>
      </c>
      <c r="I146">
        <v>1937347</v>
      </c>
    </row>
    <row r="147" spans="4:9" x14ac:dyDescent="0.25">
      <c r="D147">
        <v>1</v>
      </c>
      <c r="E147" t="s">
        <v>39</v>
      </c>
      <c r="F147" t="s">
        <v>386</v>
      </c>
      <c r="G147">
        <v>41</v>
      </c>
      <c r="H147">
        <v>226</v>
      </c>
      <c r="I147">
        <v>1937878</v>
      </c>
    </row>
    <row r="148" spans="4:9" x14ac:dyDescent="0.25">
      <c r="D148">
        <v>1</v>
      </c>
      <c r="E148" t="s">
        <v>16</v>
      </c>
      <c r="F148" t="s">
        <v>389</v>
      </c>
      <c r="G148">
        <v>153</v>
      </c>
      <c r="H148">
        <v>163</v>
      </c>
      <c r="I148">
        <v>1939553</v>
      </c>
    </row>
    <row r="149" spans="4:9" x14ac:dyDescent="0.25">
      <c r="D149">
        <v>1</v>
      </c>
      <c r="E149" t="s">
        <v>50</v>
      </c>
      <c r="F149" t="s">
        <v>392</v>
      </c>
      <c r="G149">
        <v>108</v>
      </c>
      <c r="H149">
        <v>314</v>
      </c>
      <c r="I149">
        <v>1939692</v>
      </c>
    </row>
    <row r="150" spans="4:9" x14ac:dyDescent="0.25">
      <c r="D150">
        <v>1</v>
      </c>
      <c r="E150" t="s">
        <v>31</v>
      </c>
      <c r="F150" t="s">
        <v>394</v>
      </c>
      <c r="G150">
        <v>108</v>
      </c>
      <c r="H150">
        <v>325</v>
      </c>
      <c r="I150">
        <v>1939700</v>
      </c>
    </row>
    <row r="151" spans="4:9" x14ac:dyDescent="0.25">
      <c r="D151">
        <v>1</v>
      </c>
      <c r="E151" t="s">
        <v>31</v>
      </c>
      <c r="F151" t="s">
        <v>396</v>
      </c>
      <c r="G151">
        <v>108</v>
      </c>
      <c r="H151">
        <v>323</v>
      </c>
      <c r="I151">
        <v>1939701</v>
      </c>
    </row>
    <row r="152" spans="4:9" x14ac:dyDescent="0.25">
      <c r="D152">
        <v>1</v>
      </c>
      <c r="E152" t="s">
        <v>16</v>
      </c>
      <c r="F152" t="s">
        <v>398</v>
      </c>
      <c r="G152">
        <v>108</v>
      </c>
      <c r="H152">
        <v>321</v>
      </c>
      <c r="I152">
        <v>1939702</v>
      </c>
    </row>
    <row r="153" spans="4:9" x14ac:dyDescent="0.25">
      <c r="D153">
        <v>1</v>
      </c>
      <c r="E153" t="s">
        <v>35</v>
      </c>
      <c r="F153" t="s">
        <v>400</v>
      </c>
      <c r="G153">
        <v>108</v>
      </c>
      <c r="H153">
        <v>320</v>
      </c>
      <c r="I153">
        <v>1939710</v>
      </c>
    </row>
    <row r="154" spans="4:9" x14ac:dyDescent="0.25">
      <c r="D154">
        <v>1</v>
      </c>
      <c r="E154" t="s">
        <v>54</v>
      </c>
      <c r="F154" t="s">
        <v>402</v>
      </c>
      <c r="G154">
        <v>108</v>
      </c>
      <c r="H154">
        <v>319</v>
      </c>
      <c r="I154">
        <v>1939711</v>
      </c>
    </row>
    <row r="155" spans="4:9" x14ac:dyDescent="0.25">
      <c r="D155">
        <v>1</v>
      </c>
      <c r="E155" t="s">
        <v>64</v>
      </c>
      <c r="F155" t="s">
        <v>404</v>
      </c>
      <c r="G155">
        <v>108</v>
      </c>
      <c r="H155">
        <v>312</v>
      </c>
      <c r="I155">
        <v>1939713</v>
      </c>
    </row>
    <row r="156" spans="4:9" x14ac:dyDescent="0.25">
      <c r="D156">
        <v>1</v>
      </c>
      <c r="E156" t="s">
        <v>35</v>
      </c>
      <c r="F156" t="s">
        <v>406</v>
      </c>
      <c r="G156">
        <v>108</v>
      </c>
      <c r="H156">
        <v>324</v>
      </c>
      <c r="I156">
        <v>1939714</v>
      </c>
    </row>
    <row r="157" spans="4:9" x14ac:dyDescent="0.25">
      <c r="D157">
        <v>1</v>
      </c>
      <c r="E157" t="s">
        <v>50</v>
      </c>
      <c r="F157" t="s">
        <v>408</v>
      </c>
      <c r="G157">
        <v>13</v>
      </c>
      <c r="H157">
        <v>57</v>
      </c>
      <c r="I157">
        <v>1939839</v>
      </c>
    </row>
    <row r="158" spans="4:9" x14ac:dyDescent="0.25">
      <c r="D158">
        <v>1</v>
      </c>
      <c r="E158" t="s">
        <v>155</v>
      </c>
      <c r="F158" t="s">
        <v>411</v>
      </c>
      <c r="G158">
        <v>13</v>
      </c>
      <c r="H158">
        <v>114</v>
      </c>
      <c r="I158">
        <v>1940127</v>
      </c>
    </row>
    <row r="159" spans="4:9" x14ac:dyDescent="0.25">
      <c r="D159">
        <v>1</v>
      </c>
      <c r="E159" t="s">
        <v>183</v>
      </c>
      <c r="F159" t="s">
        <v>414</v>
      </c>
      <c r="G159">
        <v>13</v>
      </c>
      <c r="H159">
        <v>121</v>
      </c>
      <c r="I159">
        <v>1940173</v>
      </c>
    </row>
    <row r="160" spans="4:9" x14ac:dyDescent="0.25">
      <c r="D160">
        <v>1</v>
      </c>
      <c r="E160" t="s">
        <v>107</v>
      </c>
      <c r="F160" t="s">
        <v>417</v>
      </c>
      <c r="G160">
        <v>13</v>
      </c>
      <c r="H160">
        <v>97</v>
      </c>
      <c r="I160">
        <v>1940205</v>
      </c>
    </row>
    <row r="161" spans="4:9" x14ac:dyDescent="0.25">
      <c r="D161">
        <v>1</v>
      </c>
      <c r="E161" t="s">
        <v>24</v>
      </c>
      <c r="F161" t="s">
        <v>417</v>
      </c>
      <c r="G161">
        <v>13</v>
      </c>
      <c r="H161">
        <v>99</v>
      </c>
      <c r="I161">
        <v>1940205</v>
      </c>
    </row>
    <row r="162" spans="4:9" x14ac:dyDescent="0.25">
      <c r="D162">
        <v>1</v>
      </c>
      <c r="E162" t="s">
        <v>43</v>
      </c>
      <c r="F162" t="s">
        <v>420</v>
      </c>
      <c r="G162">
        <v>13</v>
      </c>
      <c r="H162">
        <v>101</v>
      </c>
      <c r="I162">
        <v>1940209</v>
      </c>
    </row>
    <row r="163" spans="4:9" x14ac:dyDescent="0.25">
      <c r="D163">
        <v>1</v>
      </c>
      <c r="E163" t="s">
        <v>54</v>
      </c>
      <c r="F163" t="s">
        <v>423</v>
      </c>
      <c r="G163">
        <v>94</v>
      </c>
      <c r="H163">
        <v>237</v>
      </c>
      <c r="I163">
        <v>1940329</v>
      </c>
    </row>
    <row r="164" spans="4:9" x14ac:dyDescent="0.25">
      <c r="D164">
        <v>1</v>
      </c>
      <c r="E164" t="s">
        <v>54</v>
      </c>
      <c r="F164" t="s">
        <v>426</v>
      </c>
      <c r="G164">
        <v>94</v>
      </c>
      <c r="H164">
        <v>308</v>
      </c>
      <c r="I164">
        <v>1941786</v>
      </c>
    </row>
    <row r="165" spans="4:9" x14ac:dyDescent="0.25">
      <c r="D165">
        <v>1</v>
      </c>
      <c r="E165" t="s">
        <v>54</v>
      </c>
      <c r="F165" t="s">
        <v>429</v>
      </c>
      <c r="G165">
        <v>153</v>
      </c>
      <c r="H165">
        <v>130</v>
      </c>
      <c r="I165">
        <v>1945040</v>
      </c>
    </row>
    <row r="166" spans="4:9" x14ac:dyDescent="0.25">
      <c r="D166">
        <v>1</v>
      </c>
      <c r="E166" t="s">
        <v>31</v>
      </c>
      <c r="F166" t="s">
        <v>429</v>
      </c>
      <c r="G166">
        <v>153</v>
      </c>
      <c r="H166">
        <v>129</v>
      </c>
      <c r="I166">
        <v>1945040</v>
      </c>
    </row>
    <row r="167" spans="4:9" x14ac:dyDescent="0.25">
      <c r="D167">
        <v>1</v>
      </c>
      <c r="E167" t="s">
        <v>24</v>
      </c>
      <c r="F167" t="s">
        <v>432</v>
      </c>
      <c r="G167">
        <v>42</v>
      </c>
      <c r="H167">
        <v>258</v>
      </c>
      <c r="I167">
        <v>1945148</v>
      </c>
    </row>
    <row r="168" spans="4:9" x14ac:dyDescent="0.25">
      <c r="D168">
        <v>1</v>
      </c>
      <c r="E168" t="s">
        <v>16</v>
      </c>
      <c r="F168" t="s">
        <v>434</v>
      </c>
      <c r="G168">
        <v>153</v>
      </c>
      <c r="H168">
        <v>107</v>
      </c>
      <c r="I168">
        <v>1945383</v>
      </c>
    </row>
    <row r="169" spans="4:9" x14ac:dyDescent="0.25">
      <c r="D169">
        <v>1</v>
      </c>
      <c r="E169" t="s">
        <v>43</v>
      </c>
      <c r="F169" t="s">
        <v>437</v>
      </c>
      <c r="G169">
        <v>153</v>
      </c>
      <c r="H169">
        <v>100</v>
      </c>
      <c r="I169">
        <v>1945386</v>
      </c>
    </row>
    <row r="170" spans="4:9" x14ac:dyDescent="0.25">
      <c r="D170">
        <v>1</v>
      </c>
      <c r="E170" t="s">
        <v>50</v>
      </c>
      <c r="F170" t="s">
        <v>440</v>
      </c>
      <c r="G170">
        <v>13</v>
      </c>
      <c r="H170">
        <v>207</v>
      </c>
      <c r="I170">
        <v>1945990</v>
      </c>
    </row>
    <row r="171" spans="4:9" x14ac:dyDescent="0.25">
      <c r="D171">
        <v>1</v>
      </c>
      <c r="E171" t="s">
        <v>64</v>
      </c>
      <c r="F171" t="s">
        <v>443</v>
      </c>
      <c r="G171">
        <v>13</v>
      </c>
      <c r="H171">
        <v>232</v>
      </c>
      <c r="I171">
        <v>1946064</v>
      </c>
    </row>
    <row r="172" spans="4:9" x14ac:dyDescent="0.25">
      <c r="D172">
        <v>1</v>
      </c>
      <c r="E172" t="s">
        <v>50</v>
      </c>
      <c r="F172" t="s">
        <v>446</v>
      </c>
      <c r="G172">
        <v>13</v>
      </c>
      <c r="H172">
        <v>233</v>
      </c>
      <c r="I172">
        <v>1946074</v>
      </c>
    </row>
    <row r="173" spans="4:9" x14ac:dyDescent="0.25">
      <c r="D173">
        <v>1</v>
      </c>
      <c r="E173" t="s">
        <v>183</v>
      </c>
      <c r="F173" t="s">
        <v>449</v>
      </c>
      <c r="G173">
        <v>13</v>
      </c>
      <c r="H173">
        <v>243</v>
      </c>
      <c r="I173">
        <v>1946150</v>
      </c>
    </row>
    <row r="174" spans="4:9" x14ac:dyDescent="0.25">
      <c r="D174">
        <v>1</v>
      </c>
      <c r="E174" t="s">
        <v>12</v>
      </c>
      <c r="F174" t="s">
        <v>452</v>
      </c>
      <c r="G174">
        <v>13</v>
      </c>
      <c r="H174">
        <v>242</v>
      </c>
      <c r="I174">
        <v>1946218</v>
      </c>
    </row>
    <row r="175" spans="4:9" x14ac:dyDescent="0.25">
      <c r="D175">
        <v>1</v>
      </c>
      <c r="E175" t="s">
        <v>35</v>
      </c>
      <c r="F175" t="s">
        <v>455</v>
      </c>
      <c r="G175">
        <v>207</v>
      </c>
      <c r="H175">
        <v>282</v>
      </c>
      <c r="I175">
        <v>1947737</v>
      </c>
    </row>
    <row r="176" spans="4:9" x14ac:dyDescent="0.25">
      <c r="D176">
        <v>1</v>
      </c>
      <c r="E176" t="s">
        <v>43</v>
      </c>
      <c r="F176" t="s">
        <v>458</v>
      </c>
      <c r="G176">
        <v>30</v>
      </c>
      <c r="H176">
        <v>19</v>
      </c>
      <c r="I176">
        <v>1953634</v>
      </c>
    </row>
    <row r="177" spans="4:9" x14ac:dyDescent="0.25">
      <c r="D177">
        <v>1</v>
      </c>
      <c r="E177" t="s">
        <v>155</v>
      </c>
      <c r="F177" t="s">
        <v>461</v>
      </c>
      <c r="G177">
        <v>30</v>
      </c>
      <c r="H177">
        <v>174</v>
      </c>
      <c r="I177">
        <v>1953777</v>
      </c>
    </row>
    <row r="178" spans="4:9" x14ac:dyDescent="0.25">
      <c r="D178">
        <v>1</v>
      </c>
      <c r="E178" t="s">
        <v>12</v>
      </c>
      <c r="F178" t="s">
        <v>464</v>
      </c>
      <c r="G178">
        <v>37</v>
      </c>
      <c r="H178">
        <v>170</v>
      </c>
      <c r="I178">
        <v>1955526</v>
      </c>
    </row>
    <row r="179" spans="4:9" x14ac:dyDescent="0.25">
      <c r="D179">
        <v>1</v>
      </c>
      <c r="E179" t="s">
        <v>39</v>
      </c>
      <c r="F179" t="s">
        <v>467</v>
      </c>
      <c r="G179">
        <v>186</v>
      </c>
      <c r="H179">
        <v>288</v>
      </c>
      <c r="I179">
        <v>1956398</v>
      </c>
    </row>
    <row r="180" spans="4:9" x14ac:dyDescent="0.25">
      <c r="D180">
        <v>1</v>
      </c>
      <c r="E180" t="s">
        <v>24</v>
      </c>
      <c r="F180" t="s">
        <v>470</v>
      </c>
      <c r="G180">
        <v>86</v>
      </c>
      <c r="H180">
        <v>225</v>
      </c>
      <c r="I180">
        <v>1958899</v>
      </c>
    </row>
    <row r="181" spans="4:9" x14ac:dyDescent="0.25">
      <c r="D181">
        <v>1</v>
      </c>
      <c r="E181" t="s">
        <v>64</v>
      </c>
      <c r="F181" t="s">
        <v>473</v>
      </c>
      <c r="G181">
        <v>84</v>
      </c>
      <c r="H181">
        <v>35</v>
      </c>
      <c r="I181">
        <v>1961246</v>
      </c>
    </row>
    <row r="182" spans="4:9" x14ac:dyDescent="0.25">
      <c r="D182">
        <v>1</v>
      </c>
      <c r="E182" t="s">
        <v>12</v>
      </c>
      <c r="F182" t="s">
        <v>476</v>
      </c>
      <c r="G182">
        <v>172</v>
      </c>
      <c r="H182">
        <v>248</v>
      </c>
      <c r="I182">
        <v>1962589</v>
      </c>
    </row>
    <row r="183" spans="4:9" x14ac:dyDescent="0.25">
      <c r="D183">
        <v>1</v>
      </c>
      <c r="E183" t="s">
        <v>12</v>
      </c>
      <c r="F183" t="s">
        <v>479</v>
      </c>
      <c r="G183">
        <v>91</v>
      </c>
      <c r="H183">
        <v>152</v>
      </c>
      <c r="I183">
        <v>1963245</v>
      </c>
    </row>
    <row r="184" spans="4:9" x14ac:dyDescent="0.25">
      <c r="D184">
        <v>1</v>
      </c>
      <c r="E184" t="s">
        <v>183</v>
      </c>
      <c r="F184" t="s">
        <v>481</v>
      </c>
      <c r="G184">
        <v>91</v>
      </c>
      <c r="H184">
        <v>148</v>
      </c>
      <c r="I184">
        <v>1963262</v>
      </c>
    </row>
    <row r="185" spans="4:9" x14ac:dyDescent="0.25">
      <c r="D185">
        <v>1</v>
      </c>
      <c r="E185" t="s">
        <v>16</v>
      </c>
      <c r="F185" t="s">
        <v>483</v>
      </c>
      <c r="G185">
        <v>37</v>
      </c>
      <c r="H185">
        <v>110</v>
      </c>
      <c r="I185">
        <v>1964547</v>
      </c>
    </row>
    <row r="186" spans="4:9" x14ac:dyDescent="0.25">
      <c r="D186">
        <v>1</v>
      </c>
      <c r="E186" t="s">
        <v>20</v>
      </c>
      <c r="F186" t="s">
        <v>486</v>
      </c>
      <c r="G186">
        <v>147</v>
      </c>
      <c r="H186">
        <v>195</v>
      </c>
      <c r="I186">
        <v>1965558</v>
      </c>
    </row>
    <row r="187" spans="4:9" x14ac:dyDescent="0.25">
      <c r="D187">
        <v>1</v>
      </c>
      <c r="E187" t="s">
        <v>35</v>
      </c>
      <c r="F187" t="s">
        <v>489</v>
      </c>
      <c r="G187">
        <v>147</v>
      </c>
      <c r="H187">
        <v>123</v>
      </c>
      <c r="I187">
        <v>1969182</v>
      </c>
    </row>
    <row r="188" spans="4:9" x14ac:dyDescent="0.25">
      <c r="D188">
        <v>1</v>
      </c>
      <c r="E188" t="s">
        <v>31</v>
      </c>
      <c r="F188" t="s">
        <v>489</v>
      </c>
      <c r="G188">
        <v>147</v>
      </c>
      <c r="H188">
        <v>124</v>
      </c>
      <c r="I188">
        <v>1969182</v>
      </c>
    </row>
    <row r="189" spans="4:9" x14ac:dyDescent="0.25">
      <c r="D189">
        <v>1</v>
      </c>
      <c r="E189" t="s">
        <v>50</v>
      </c>
      <c r="F189" t="s">
        <v>492</v>
      </c>
      <c r="G189">
        <v>147</v>
      </c>
      <c r="H189">
        <v>211</v>
      </c>
      <c r="I189">
        <v>1970500</v>
      </c>
    </row>
    <row r="190" spans="4:9" x14ac:dyDescent="0.25">
      <c r="D190">
        <v>1</v>
      </c>
      <c r="E190" t="s">
        <v>155</v>
      </c>
      <c r="F190" t="s">
        <v>495</v>
      </c>
      <c r="G190">
        <v>211</v>
      </c>
      <c r="H190">
        <v>28</v>
      </c>
      <c r="I190">
        <v>1970827</v>
      </c>
    </row>
    <row r="191" spans="4:9" x14ac:dyDescent="0.25">
      <c r="D191">
        <v>1</v>
      </c>
      <c r="E191" t="s">
        <v>31</v>
      </c>
      <c r="F191" t="s">
        <v>498</v>
      </c>
      <c r="G191">
        <v>147</v>
      </c>
      <c r="H191">
        <v>52</v>
      </c>
      <c r="I191">
        <v>1972105</v>
      </c>
    </row>
    <row r="192" spans="4:9" x14ac:dyDescent="0.25">
      <c r="D192">
        <v>1</v>
      </c>
      <c r="E192" t="s">
        <v>12</v>
      </c>
      <c r="F192" t="s">
        <v>501</v>
      </c>
      <c r="G192">
        <v>15</v>
      </c>
      <c r="H192">
        <v>177</v>
      </c>
      <c r="I192">
        <v>1972337</v>
      </c>
    </row>
    <row r="193" spans="4:9" x14ac:dyDescent="0.25">
      <c r="D193">
        <v>1</v>
      </c>
      <c r="E193" t="s">
        <v>255</v>
      </c>
      <c r="F193" t="s">
        <v>504</v>
      </c>
      <c r="G193">
        <v>15</v>
      </c>
      <c r="H193">
        <v>180</v>
      </c>
      <c r="I193">
        <v>1972367</v>
      </c>
    </row>
    <row r="194" spans="4:9" x14ac:dyDescent="0.25">
      <c r="D194">
        <v>1</v>
      </c>
      <c r="E194" t="s">
        <v>39</v>
      </c>
      <c r="F194" t="s">
        <v>507</v>
      </c>
      <c r="G194">
        <v>37</v>
      </c>
      <c r="H194">
        <v>39</v>
      </c>
      <c r="I194">
        <v>1974151</v>
      </c>
    </row>
    <row r="195" spans="4:9" x14ac:dyDescent="0.25">
      <c r="D195">
        <v>1</v>
      </c>
      <c r="E195" t="s">
        <v>64</v>
      </c>
      <c r="F195" t="s">
        <v>510</v>
      </c>
      <c r="G195">
        <v>37</v>
      </c>
      <c r="H195">
        <v>62</v>
      </c>
      <c r="I195">
        <v>1974290</v>
      </c>
    </row>
    <row r="196" spans="4:9" x14ac:dyDescent="0.25">
      <c r="D196">
        <v>1</v>
      </c>
      <c r="E196" t="s">
        <v>20</v>
      </c>
      <c r="F196" t="s">
        <v>513</v>
      </c>
      <c r="G196">
        <v>160</v>
      </c>
      <c r="H196">
        <v>8</v>
      </c>
      <c r="I196">
        <v>1975874</v>
      </c>
    </row>
    <row r="197" spans="4:9" x14ac:dyDescent="0.25">
      <c r="D197">
        <v>1</v>
      </c>
      <c r="E197" t="s">
        <v>39</v>
      </c>
      <c r="F197" t="s">
        <v>513</v>
      </c>
      <c r="G197">
        <v>160</v>
      </c>
      <c r="H197">
        <v>11</v>
      </c>
      <c r="I197">
        <v>1975874</v>
      </c>
    </row>
    <row r="198" spans="4:9" x14ac:dyDescent="0.25">
      <c r="D198">
        <v>1</v>
      </c>
      <c r="E198" t="s">
        <v>155</v>
      </c>
      <c r="F198" t="s">
        <v>516</v>
      </c>
      <c r="G198">
        <v>191</v>
      </c>
      <c r="H198">
        <v>222</v>
      </c>
      <c r="I198">
        <v>1977709</v>
      </c>
    </row>
    <row r="199" spans="4:9" x14ac:dyDescent="0.25">
      <c r="D199">
        <v>1</v>
      </c>
      <c r="E199" t="s">
        <v>8</v>
      </c>
      <c r="F199" t="s">
        <v>519</v>
      </c>
      <c r="G199">
        <v>182</v>
      </c>
      <c r="H199">
        <v>171</v>
      </c>
      <c r="I199">
        <v>1980833</v>
      </c>
    </row>
    <row r="200" spans="4:9" x14ac:dyDescent="0.25">
      <c r="D200">
        <v>1</v>
      </c>
      <c r="E200" t="s">
        <v>16</v>
      </c>
      <c r="F200" t="s">
        <v>522</v>
      </c>
      <c r="G200">
        <v>182</v>
      </c>
      <c r="H200">
        <v>234</v>
      </c>
      <c r="I200">
        <v>1981131</v>
      </c>
    </row>
    <row r="201" spans="4:9" x14ac:dyDescent="0.25">
      <c r="D201">
        <v>2</v>
      </c>
      <c r="E201" t="s">
        <v>50</v>
      </c>
      <c r="F201" t="s">
        <v>525</v>
      </c>
      <c r="G201">
        <v>10</v>
      </c>
      <c r="H201">
        <v>316</v>
      </c>
      <c r="I201">
        <v>1532872</v>
      </c>
    </row>
    <row r="202" spans="4:9" x14ac:dyDescent="0.25">
      <c r="D202">
        <v>2</v>
      </c>
      <c r="E202" t="s">
        <v>20</v>
      </c>
      <c r="F202" t="s">
        <v>528</v>
      </c>
      <c r="G202">
        <v>106</v>
      </c>
      <c r="H202">
        <v>59</v>
      </c>
      <c r="I202">
        <v>1536885</v>
      </c>
    </row>
    <row r="203" spans="4:9" x14ac:dyDescent="0.25">
      <c r="D203">
        <v>2</v>
      </c>
      <c r="E203" t="s">
        <v>107</v>
      </c>
      <c r="F203" t="s">
        <v>531</v>
      </c>
      <c r="G203">
        <v>104</v>
      </c>
      <c r="H203">
        <v>217</v>
      </c>
      <c r="I203">
        <v>1551388</v>
      </c>
    </row>
    <row r="204" spans="4:9" x14ac:dyDescent="0.25">
      <c r="D204">
        <v>2</v>
      </c>
      <c r="E204" t="s">
        <v>35</v>
      </c>
      <c r="F204" t="s">
        <v>534</v>
      </c>
      <c r="G204">
        <v>133</v>
      </c>
      <c r="H204">
        <v>84</v>
      </c>
      <c r="I204">
        <v>1535187</v>
      </c>
    </row>
    <row r="205" spans="4:9" x14ac:dyDescent="0.25">
      <c r="D205">
        <v>2</v>
      </c>
      <c r="E205" t="s">
        <v>155</v>
      </c>
      <c r="F205" t="s">
        <v>537</v>
      </c>
      <c r="G205">
        <v>68</v>
      </c>
      <c r="H205">
        <v>28</v>
      </c>
      <c r="I205">
        <v>1536998</v>
      </c>
    </row>
    <row r="206" spans="4:9" x14ac:dyDescent="0.25">
      <c r="D206">
        <v>2</v>
      </c>
      <c r="E206" t="s">
        <v>8</v>
      </c>
      <c r="F206" t="s">
        <v>540</v>
      </c>
      <c r="G206">
        <v>133</v>
      </c>
      <c r="H206">
        <v>171</v>
      </c>
      <c r="I206">
        <v>1537287</v>
      </c>
    </row>
    <row r="207" spans="4:9" x14ac:dyDescent="0.25">
      <c r="D207">
        <v>2</v>
      </c>
      <c r="E207" t="s">
        <v>43</v>
      </c>
      <c r="F207" t="s">
        <v>543</v>
      </c>
      <c r="G207">
        <v>68</v>
      </c>
      <c r="H207">
        <v>48</v>
      </c>
      <c r="I207">
        <v>1536498</v>
      </c>
    </row>
    <row r="208" spans="4:9" x14ac:dyDescent="0.25">
      <c r="D208">
        <v>2</v>
      </c>
      <c r="E208" t="s">
        <v>35</v>
      </c>
      <c r="F208" t="s">
        <v>546</v>
      </c>
      <c r="G208">
        <v>98</v>
      </c>
      <c r="H208">
        <v>282</v>
      </c>
      <c r="I208">
        <v>1536058</v>
      </c>
    </row>
    <row r="209" spans="4:9" x14ac:dyDescent="0.25">
      <c r="D209">
        <v>2</v>
      </c>
      <c r="E209" t="s">
        <v>54</v>
      </c>
      <c r="F209" t="s">
        <v>549</v>
      </c>
      <c r="G209">
        <v>98</v>
      </c>
      <c r="H209">
        <v>285</v>
      </c>
      <c r="I209">
        <v>1536067</v>
      </c>
    </row>
    <row r="210" spans="4:9" x14ac:dyDescent="0.25">
      <c r="D210">
        <v>2</v>
      </c>
      <c r="E210" t="s">
        <v>8</v>
      </c>
      <c r="F210" t="s">
        <v>552</v>
      </c>
      <c r="G210">
        <v>80</v>
      </c>
      <c r="H210">
        <v>178</v>
      </c>
      <c r="I210">
        <v>1546651</v>
      </c>
    </row>
    <row r="211" spans="4:9" x14ac:dyDescent="0.25">
      <c r="D211">
        <v>2</v>
      </c>
      <c r="E211" t="s">
        <v>64</v>
      </c>
      <c r="F211" t="s">
        <v>21</v>
      </c>
      <c r="G211">
        <v>122</v>
      </c>
      <c r="H211">
        <v>46</v>
      </c>
      <c r="I211">
        <v>1537325</v>
      </c>
    </row>
    <row r="212" spans="4:9" x14ac:dyDescent="0.25">
      <c r="D212">
        <v>2</v>
      </c>
      <c r="E212" t="s">
        <v>107</v>
      </c>
      <c r="F212" t="s">
        <v>555</v>
      </c>
      <c r="G212">
        <v>114</v>
      </c>
      <c r="H212">
        <v>169</v>
      </c>
      <c r="I212">
        <v>1550162</v>
      </c>
    </row>
    <row r="213" spans="4:9" x14ac:dyDescent="0.25">
      <c r="D213">
        <v>2</v>
      </c>
      <c r="E213" t="s">
        <v>54</v>
      </c>
      <c r="F213" t="s">
        <v>558</v>
      </c>
      <c r="G213">
        <v>107</v>
      </c>
      <c r="H213">
        <v>281</v>
      </c>
      <c r="I213">
        <v>1537401</v>
      </c>
    </row>
    <row r="214" spans="4:9" x14ac:dyDescent="0.25">
      <c r="D214">
        <v>2</v>
      </c>
      <c r="E214" t="s">
        <v>20</v>
      </c>
      <c r="F214" t="s">
        <v>561</v>
      </c>
      <c r="G214">
        <v>3</v>
      </c>
      <c r="H214">
        <v>196</v>
      </c>
      <c r="I214">
        <v>1538160</v>
      </c>
    </row>
    <row r="215" spans="4:9" x14ac:dyDescent="0.25">
      <c r="D215">
        <v>2</v>
      </c>
      <c r="E215" t="s">
        <v>16</v>
      </c>
      <c r="F215" t="s">
        <v>564</v>
      </c>
      <c r="G215">
        <v>98</v>
      </c>
      <c r="H215">
        <v>329</v>
      </c>
      <c r="I215">
        <v>1543088</v>
      </c>
    </row>
    <row r="216" spans="4:9" x14ac:dyDescent="0.25">
      <c r="D216">
        <v>2</v>
      </c>
      <c r="E216" t="s">
        <v>35</v>
      </c>
      <c r="F216" t="s">
        <v>567</v>
      </c>
      <c r="G216">
        <v>48</v>
      </c>
      <c r="H216">
        <v>309</v>
      </c>
      <c r="I216">
        <v>1543506</v>
      </c>
    </row>
    <row r="217" spans="4:9" x14ac:dyDescent="0.25">
      <c r="D217">
        <v>2</v>
      </c>
      <c r="E217" t="s">
        <v>35</v>
      </c>
      <c r="F217" t="s">
        <v>570</v>
      </c>
      <c r="G217">
        <v>48</v>
      </c>
      <c r="H217">
        <v>304</v>
      </c>
      <c r="I217">
        <v>1543509</v>
      </c>
    </row>
    <row r="218" spans="4:9" x14ac:dyDescent="0.25">
      <c r="D218">
        <v>2</v>
      </c>
      <c r="E218" t="s">
        <v>50</v>
      </c>
      <c r="F218" t="s">
        <v>573</v>
      </c>
      <c r="G218">
        <v>171</v>
      </c>
      <c r="H218">
        <v>302</v>
      </c>
      <c r="I218">
        <v>1550148</v>
      </c>
    </row>
    <row r="219" spans="4:9" x14ac:dyDescent="0.25">
      <c r="D219">
        <v>2</v>
      </c>
      <c r="E219" t="s">
        <v>16</v>
      </c>
      <c r="F219" t="s">
        <v>576</v>
      </c>
      <c r="G219">
        <v>10</v>
      </c>
      <c r="H219">
        <v>311</v>
      </c>
      <c r="I219">
        <v>1544424</v>
      </c>
    </row>
    <row r="220" spans="4:9" x14ac:dyDescent="0.25">
      <c r="D220">
        <v>2</v>
      </c>
      <c r="E220" t="s">
        <v>54</v>
      </c>
      <c r="F220" t="s">
        <v>579</v>
      </c>
      <c r="G220">
        <v>95</v>
      </c>
      <c r="H220">
        <v>40</v>
      </c>
      <c r="I220">
        <v>1550250</v>
      </c>
    </row>
    <row r="221" spans="4:9" x14ac:dyDescent="0.25">
      <c r="D221">
        <v>2</v>
      </c>
      <c r="E221" t="s">
        <v>35</v>
      </c>
      <c r="F221" t="s">
        <v>582</v>
      </c>
      <c r="G221">
        <v>98</v>
      </c>
      <c r="H221">
        <v>327</v>
      </c>
      <c r="I221">
        <v>1544803</v>
      </c>
    </row>
    <row r="222" spans="4:9" x14ac:dyDescent="0.25">
      <c r="D222">
        <v>2</v>
      </c>
      <c r="E222" t="s">
        <v>31</v>
      </c>
      <c r="F222" t="s">
        <v>585</v>
      </c>
      <c r="G222">
        <v>98</v>
      </c>
      <c r="H222">
        <v>325</v>
      </c>
      <c r="I222">
        <v>1544830</v>
      </c>
    </row>
    <row r="223" spans="4:9" x14ac:dyDescent="0.25">
      <c r="D223">
        <v>2</v>
      </c>
      <c r="E223" t="s">
        <v>54</v>
      </c>
      <c r="F223" t="s">
        <v>588</v>
      </c>
      <c r="G223">
        <v>98</v>
      </c>
      <c r="H223">
        <v>315</v>
      </c>
      <c r="I223">
        <v>1544880</v>
      </c>
    </row>
    <row r="224" spans="4:9" x14ac:dyDescent="0.25">
      <c r="D224">
        <v>2</v>
      </c>
      <c r="E224" t="s">
        <v>31</v>
      </c>
      <c r="F224" t="s">
        <v>591</v>
      </c>
      <c r="G224">
        <v>72</v>
      </c>
      <c r="H224">
        <v>185</v>
      </c>
      <c r="I224">
        <v>1545116</v>
      </c>
    </row>
    <row r="225" spans="4:9" x14ac:dyDescent="0.25">
      <c r="D225">
        <v>2</v>
      </c>
      <c r="E225" t="s">
        <v>54</v>
      </c>
      <c r="F225" t="s">
        <v>594</v>
      </c>
      <c r="G225">
        <v>212</v>
      </c>
      <c r="H225">
        <v>313</v>
      </c>
      <c r="I225">
        <v>1550119</v>
      </c>
    </row>
    <row r="226" spans="4:9" x14ac:dyDescent="0.25">
      <c r="D226">
        <v>2</v>
      </c>
      <c r="E226" t="s">
        <v>35</v>
      </c>
      <c r="F226" t="s">
        <v>597</v>
      </c>
      <c r="G226">
        <v>33</v>
      </c>
      <c r="H226">
        <v>187</v>
      </c>
      <c r="I226">
        <v>1548948</v>
      </c>
    </row>
    <row r="227" spans="4:9" x14ac:dyDescent="0.25">
      <c r="D227">
        <v>2</v>
      </c>
      <c r="E227" t="s">
        <v>16</v>
      </c>
      <c r="F227" t="s">
        <v>599</v>
      </c>
      <c r="G227">
        <v>216</v>
      </c>
      <c r="H227">
        <v>310</v>
      </c>
      <c r="I227">
        <v>1551307</v>
      </c>
    </row>
    <row r="228" spans="4:9" x14ac:dyDescent="0.25">
      <c r="D228">
        <v>2</v>
      </c>
      <c r="E228" t="s">
        <v>35</v>
      </c>
      <c r="F228" t="s">
        <v>602</v>
      </c>
      <c r="G228">
        <v>104</v>
      </c>
      <c r="H228">
        <v>51</v>
      </c>
      <c r="I228">
        <v>1552305</v>
      </c>
    </row>
    <row r="229" spans="4:9" x14ac:dyDescent="0.25">
      <c r="D229">
        <v>2</v>
      </c>
      <c r="E229" t="s">
        <v>255</v>
      </c>
      <c r="F229" t="s">
        <v>605</v>
      </c>
      <c r="G229">
        <v>80</v>
      </c>
      <c r="H229">
        <v>180</v>
      </c>
      <c r="I229">
        <v>1552370</v>
      </c>
    </row>
    <row r="230" spans="4:9" x14ac:dyDescent="0.25">
      <c r="D230">
        <v>2</v>
      </c>
      <c r="E230" t="s">
        <v>31</v>
      </c>
      <c r="F230" t="s">
        <v>608</v>
      </c>
      <c r="G230">
        <v>80</v>
      </c>
      <c r="H230">
        <v>328</v>
      </c>
      <c r="I230">
        <v>1552495</v>
      </c>
    </row>
    <row r="231" spans="4:9" x14ac:dyDescent="0.25">
      <c r="D231">
        <v>2</v>
      </c>
      <c r="E231" t="s">
        <v>20</v>
      </c>
      <c r="F231" t="s">
        <v>611</v>
      </c>
      <c r="G231">
        <v>53</v>
      </c>
      <c r="H231">
        <v>289</v>
      </c>
      <c r="I231">
        <v>1554972</v>
      </c>
    </row>
    <row r="232" spans="4:9" x14ac:dyDescent="0.25">
      <c r="D232">
        <v>2</v>
      </c>
      <c r="E232" t="s">
        <v>255</v>
      </c>
      <c r="F232" t="s">
        <v>614</v>
      </c>
      <c r="G232">
        <v>212</v>
      </c>
      <c r="H232">
        <v>216</v>
      </c>
      <c r="I232">
        <v>1555976</v>
      </c>
    </row>
    <row r="233" spans="4:9" x14ac:dyDescent="0.25">
      <c r="D233">
        <v>2</v>
      </c>
      <c r="E233" t="s">
        <v>54</v>
      </c>
      <c r="F233" t="s">
        <v>617</v>
      </c>
      <c r="G233">
        <v>72</v>
      </c>
      <c r="H233">
        <v>210</v>
      </c>
      <c r="I233">
        <v>1559512</v>
      </c>
    </row>
    <row r="234" spans="4:9" x14ac:dyDescent="0.25">
      <c r="D234">
        <v>2</v>
      </c>
      <c r="E234" t="s">
        <v>16</v>
      </c>
      <c r="F234" t="s">
        <v>620</v>
      </c>
      <c r="G234">
        <v>62</v>
      </c>
      <c r="H234">
        <v>305</v>
      </c>
      <c r="I234">
        <v>1563010</v>
      </c>
    </row>
    <row r="235" spans="4:9" x14ac:dyDescent="0.25">
      <c r="D235">
        <v>2</v>
      </c>
      <c r="E235" t="s">
        <v>24</v>
      </c>
      <c r="F235" t="s">
        <v>623</v>
      </c>
      <c r="G235">
        <v>82</v>
      </c>
      <c r="H235">
        <v>172</v>
      </c>
      <c r="I235">
        <v>1563082</v>
      </c>
    </row>
    <row r="236" spans="4:9" x14ac:dyDescent="0.25">
      <c r="D236">
        <v>2</v>
      </c>
      <c r="E236" t="s">
        <v>39</v>
      </c>
      <c r="F236" t="s">
        <v>626</v>
      </c>
      <c r="G236">
        <v>194</v>
      </c>
      <c r="H236">
        <v>275</v>
      </c>
      <c r="I236">
        <v>1563390</v>
      </c>
    </row>
    <row r="237" spans="4:9" x14ac:dyDescent="0.25">
      <c r="D237">
        <v>2</v>
      </c>
      <c r="E237" t="s">
        <v>39</v>
      </c>
      <c r="F237" t="s">
        <v>629</v>
      </c>
      <c r="G237">
        <v>66</v>
      </c>
      <c r="H237">
        <v>288</v>
      </c>
      <c r="I237">
        <v>1563682</v>
      </c>
    </row>
    <row r="238" spans="4:9" x14ac:dyDescent="0.25">
      <c r="D238">
        <v>2</v>
      </c>
      <c r="E238" t="s">
        <v>35</v>
      </c>
      <c r="F238" t="s">
        <v>632</v>
      </c>
      <c r="G238">
        <v>208</v>
      </c>
      <c r="H238">
        <v>88</v>
      </c>
      <c r="I238">
        <v>1568182</v>
      </c>
    </row>
    <row r="239" spans="4:9" x14ac:dyDescent="0.25">
      <c r="D239">
        <v>2</v>
      </c>
      <c r="E239" t="s">
        <v>54</v>
      </c>
      <c r="F239" t="s">
        <v>635</v>
      </c>
      <c r="G239">
        <v>208</v>
      </c>
      <c r="H239">
        <v>89</v>
      </c>
      <c r="I239">
        <v>1568186</v>
      </c>
    </row>
    <row r="240" spans="4:9" x14ac:dyDescent="0.25">
      <c r="D240">
        <v>2</v>
      </c>
      <c r="E240" t="s">
        <v>64</v>
      </c>
      <c r="F240" t="s">
        <v>638</v>
      </c>
      <c r="G240">
        <v>111</v>
      </c>
      <c r="H240">
        <v>322</v>
      </c>
      <c r="I240">
        <v>1568241</v>
      </c>
    </row>
    <row r="241" spans="4:9" x14ac:dyDescent="0.25">
      <c r="D241">
        <v>2</v>
      </c>
      <c r="E241" t="s">
        <v>16</v>
      </c>
      <c r="F241" t="s">
        <v>641</v>
      </c>
      <c r="G241">
        <v>93</v>
      </c>
      <c r="H241">
        <v>107</v>
      </c>
      <c r="I241">
        <v>1568350</v>
      </c>
    </row>
    <row r="242" spans="4:9" x14ac:dyDescent="0.25">
      <c r="D242">
        <v>2</v>
      </c>
      <c r="E242" t="s">
        <v>16</v>
      </c>
      <c r="F242" t="s">
        <v>644</v>
      </c>
      <c r="G242">
        <v>164</v>
      </c>
      <c r="H242">
        <v>90</v>
      </c>
      <c r="I242">
        <v>1568655</v>
      </c>
    </row>
    <row r="243" spans="4:9" x14ac:dyDescent="0.25">
      <c r="D243">
        <v>2</v>
      </c>
      <c r="E243" t="s">
        <v>16</v>
      </c>
      <c r="F243" t="s">
        <v>647</v>
      </c>
      <c r="G243">
        <v>93</v>
      </c>
      <c r="H243">
        <v>102</v>
      </c>
      <c r="I243">
        <v>1570863</v>
      </c>
    </row>
    <row r="244" spans="4:9" x14ac:dyDescent="0.25">
      <c r="D244">
        <v>2</v>
      </c>
      <c r="E244" t="s">
        <v>50</v>
      </c>
      <c r="F244" t="s">
        <v>650</v>
      </c>
      <c r="G244">
        <v>54</v>
      </c>
      <c r="H244">
        <v>318</v>
      </c>
      <c r="I244">
        <v>1571747</v>
      </c>
    </row>
    <row r="245" spans="4:9" x14ac:dyDescent="0.25">
      <c r="D245">
        <v>2</v>
      </c>
      <c r="E245" t="s">
        <v>35</v>
      </c>
      <c r="F245" t="s">
        <v>653</v>
      </c>
      <c r="G245">
        <v>131</v>
      </c>
      <c r="H245">
        <v>320</v>
      </c>
      <c r="I245">
        <v>1572203</v>
      </c>
    </row>
    <row r="246" spans="4:9" x14ac:dyDescent="0.25">
      <c r="D246">
        <v>2</v>
      </c>
      <c r="E246" t="s">
        <v>12</v>
      </c>
      <c r="F246" t="s">
        <v>656</v>
      </c>
      <c r="G246">
        <v>194</v>
      </c>
      <c r="H246">
        <v>215</v>
      </c>
      <c r="I246">
        <v>1572919</v>
      </c>
    </row>
    <row r="247" spans="4:9" x14ac:dyDescent="0.25">
      <c r="D247">
        <v>2</v>
      </c>
      <c r="E247" t="s">
        <v>31</v>
      </c>
      <c r="F247" t="s">
        <v>659</v>
      </c>
      <c r="G247">
        <v>164</v>
      </c>
      <c r="H247">
        <v>132</v>
      </c>
      <c r="I247">
        <v>1572953</v>
      </c>
    </row>
    <row r="248" spans="4:9" x14ac:dyDescent="0.25">
      <c r="D248">
        <v>2</v>
      </c>
      <c r="E248" t="s">
        <v>16</v>
      </c>
      <c r="F248" t="s">
        <v>662</v>
      </c>
      <c r="G248">
        <v>111</v>
      </c>
      <c r="H248">
        <v>82</v>
      </c>
      <c r="I248">
        <v>1878687</v>
      </c>
    </row>
    <row r="249" spans="4:9" x14ac:dyDescent="0.25">
      <c r="D249">
        <v>2</v>
      </c>
      <c r="E249" t="s">
        <v>54</v>
      </c>
      <c r="F249" t="s">
        <v>665</v>
      </c>
      <c r="G249">
        <v>72</v>
      </c>
      <c r="H249">
        <v>81</v>
      </c>
      <c r="I249">
        <v>1879110</v>
      </c>
    </row>
    <row r="250" spans="4:9" x14ac:dyDescent="0.25">
      <c r="D250">
        <v>2</v>
      </c>
      <c r="E250" t="s">
        <v>50</v>
      </c>
      <c r="F250" t="s">
        <v>668</v>
      </c>
      <c r="G250">
        <v>72</v>
      </c>
      <c r="H250">
        <v>83</v>
      </c>
      <c r="I250">
        <v>1879111</v>
      </c>
    </row>
    <row r="251" spans="4:9" x14ac:dyDescent="0.25">
      <c r="D251">
        <v>2</v>
      </c>
      <c r="E251" t="s">
        <v>255</v>
      </c>
      <c r="F251" t="s">
        <v>671</v>
      </c>
      <c r="G251">
        <v>72</v>
      </c>
      <c r="H251">
        <v>96</v>
      </c>
      <c r="I251">
        <v>1880464</v>
      </c>
    </row>
    <row r="252" spans="4:9" x14ac:dyDescent="0.25">
      <c r="D252">
        <v>2</v>
      </c>
      <c r="E252" t="s">
        <v>43</v>
      </c>
      <c r="F252" t="s">
        <v>674</v>
      </c>
      <c r="G252">
        <v>72</v>
      </c>
      <c r="H252">
        <v>101</v>
      </c>
      <c r="I252">
        <v>1880483</v>
      </c>
    </row>
    <row r="253" spans="4:9" x14ac:dyDescent="0.25">
      <c r="D253">
        <v>2</v>
      </c>
      <c r="E253" t="s">
        <v>16</v>
      </c>
      <c r="F253" t="s">
        <v>677</v>
      </c>
      <c r="G253">
        <v>216</v>
      </c>
      <c r="H253">
        <v>287</v>
      </c>
      <c r="I253">
        <v>1887768</v>
      </c>
    </row>
    <row r="254" spans="4:9" x14ac:dyDescent="0.25">
      <c r="D254">
        <v>2</v>
      </c>
      <c r="E254" t="s">
        <v>16</v>
      </c>
      <c r="F254" t="s">
        <v>680</v>
      </c>
      <c r="G254">
        <v>108</v>
      </c>
      <c r="H254">
        <v>186</v>
      </c>
      <c r="I254">
        <v>1887939</v>
      </c>
    </row>
    <row r="255" spans="4:9" x14ac:dyDescent="0.25">
      <c r="D255">
        <v>2</v>
      </c>
      <c r="E255" t="s">
        <v>20</v>
      </c>
      <c r="F255" t="s">
        <v>682</v>
      </c>
      <c r="G255">
        <v>72</v>
      </c>
      <c r="H255">
        <v>224</v>
      </c>
      <c r="I255">
        <v>1888429</v>
      </c>
    </row>
    <row r="256" spans="4:9" x14ac:dyDescent="0.25">
      <c r="D256">
        <v>2</v>
      </c>
      <c r="E256" t="s">
        <v>31</v>
      </c>
      <c r="F256" t="s">
        <v>685</v>
      </c>
      <c r="G256">
        <v>82</v>
      </c>
      <c r="H256">
        <v>129</v>
      </c>
      <c r="I256">
        <v>1889704</v>
      </c>
    </row>
    <row r="257" spans="4:9" x14ac:dyDescent="0.25">
      <c r="D257">
        <v>2</v>
      </c>
      <c r="E257" t="s">
        <v>183</v>
      </c>
      <c r="F257" t="s">
        <v>688</v>
      </c>
      <c r="G257">
        <v>72</v>
      </c>
      <c r="H257">
        <v>175</v>
      </c>
      <c r="I257">
        <v>1891304</v>
      </c>
    </row>
    <row r="258" spans="4:9" x14ac:dyDescent="0.25">
      <c r="D258">
        <v>2</v>
      </c>
      <c r="E258" t="s">
        <v>12</v>
      </c>
      <c r="F258" t="s">
        <v>691</v>
      </c>
      <c r="G258">
        <v>72</v>
      </c>
      <c r="H258">
        <v>177</v>
      </c>
      <c r="I258">
        <v>1891311</v>
      </c>
    </row>
    <row r="259" spans="4:9" x14ac:dyDescent="0.25">
      <c r="D259">
        <v>2</v>
      </c>
      <c r="E259" t="s">
        <v>16</v>
      </c>
      <c r="F259" t="s">
        <v>694</v>
      </c>
      <c r="G259">
        <v>108</v>
      </c>
      <c r="H259">
        <v>139</v>
      </c>
      <c r="I259">
        <v>1891685</v>
      </c>
    </row>
    <row r="260" spans="4:9" x14ac:dyDescent="0.25">
      <c r="D260">
        <v>2</v>
      </c>
      <c r="E260" t="s">
        <v>35</v>
      </c>
      <c r="F260" t="s">
        <v>696</v>
      </c>
      <c r="G260">
        <v>108</v>
      </c>
      <c r="H260">
        <v>236</v>
      </c>
      <c r="I260">
        <v>1892022</v>
      </c>
    </row>
    <row r="261" spans="4:9" x14ac:dyDescent="0.25">
      <c r="D261">
        <v>2</v>
      </c>
      <c r="E261" t="s">
        <v>16</v>
      </c>
      <c r="F261" t="s">
        <v>698</v>
      </c>
      <c r="G261">
        <v>82</v>
      </c>
      <c r="H261">
        <v>163</v>
      </c>
      <c r="I261">
        <v>1892506</v>
      </c>
    </row>
    <row r="262" spans="4:9" x14ac:dyDescent="0.25">
      <c r="D262">
        <v>2</v>
      </c>
      <c r="E262" t="s">
        <v>255</v>
      </c>
      <c r="F262" t="s">
        <v>701</v>
      </c>
      <c r="G262">
        <v>102</v>
      </c>
      <c r="H262">
        <v>173</v>
      </c>
      <c r="I262">
        <v>1892794</v>
      </c>
    </row>
    <row r="263" spans="4:9" x14ac:dyDescent="0.25">
      <c r="D263">
        <v>2</v>
      </c>
      <c r="E263" t="s">
        <v>155</v>
      </c>
      <c r="F263" t="s">
        <v>704</v>
      </c>
      <c r="G263">
        <v>102</v>
      </c>
      <c r="H263">
        <v>174</v>
      </c>
      <c r="I263">
        <v>1892796</v>
      </c>
    </row>
    <row r="264" spans="4:9" x14ac:dyDescent="0.25">
      <c r="D264">
        <v>2</v>
      </c>
      <c r="E264" t="s">
        <v>43</v>
      </c>
      <c r="F264" t="s">
        <v>707</v>
      </c>
      <c r="G264">
        <v>113</v>
      </c>
      <c r="H264">
        <v>218</v>
      </c>
      <c r="I264">
        <v>1893852</v>
      </c>
    </row>
    <row r="265" spans="4:9" x14ac:dyDescent="0.25">
      <c r="D265">
        <v>2</v>
      </c>
      <c r="E265" t="s">
        <v>107</v>
      </c>
      <c r="F265" t="s">
        <v>709</v>
      </c>
      <c r="G265">
        <v>113</v>
      </c>
      <c r="H265">
        <v>223</v>
      </c>
      <c r="I265">
        <v>1893930</v>
      </c>
    </row>
    <row r="266" spans="4:9" x14ac:dyDescent="0.25">
      <c r="D266">
        <v>2</v>
      </c>
      <c r="E266" t="s">
        <v>35</v>
      </c>
      <c r="F266" t="s">
        <v>711</v>
      </c>
      <c r="G266">
        <v>151</v>
      </c>
      <c r="H266">
        <v>32</v>
      </c>
      <c r="I266">
        <v>1894095</v>
      </c>
    </row>
    <row r="267" spans="4:9" x14ac:dyDescent="0.25">
      <c r="D267">
        <v>2</v>
      </c>
      <c r="E267" t="s">
        <v>31</v>
      </c>
      <c r="F267" t="s">
        <v>714</v>
      </c>
      <c r="G267">
        <v>113</v>
      </c>
      <c r="H267">
        <v>306</v>
      </c>
      <c r="I267">
        <v>1894414</v>
      </c>
    </row>
    <row r="268" spans="4:9" x14ac:dyDescent="0.25">
      <c r="D268">
        <v>2</v>
      </c>
      <c r="E268" t="s">
        <v>50</v>
      </c>
      <c r="F268" t="s">
        <v>716</v>
      </c>
      <c r="G268">
        <v>57</v>
      </c>
      <c r="H268">
        <v>211</v>
      </c>
      <c r="I268">
        <v>1895121</v>
      </c>
    </row>
    <row r="269" spans="4:9" x14ac:dyDescent="0.25">
      <c r="D269">
        <v>2</v>
      </c>
      <c r="E269" t="s">
        <v>155</v>
      </c>
      <c r="F269" t="s">
        <v>719</v>
      </c>
      <c r="G269">
        <v>72</v>
      </c>
      <c r="H269">
        <v>115</v>
      </c>
      <c r="I269">
        <v>1895640</v>
      </c>
    </row>
    <row r="270" spans="4:9" x14ac:dyDescent="0.25">
      <c r="D270">
        <v>2</v>
      </c>
      <c r="E270" t="s">
        <v>12</v>
      </c>
      <c r="F270" t="s">
        <v>722</v>
      </c>
      <c r="G270">
        <v>72</v>
      </c>
      <c r="H270">
        <v>116</v>
      </c>
      <c r="I270">
        <v>1895687</v>
      </c>
    </row>
    <row r="271" spans="4:9" x14ac:dyDescent="0.25">
      <c r="D271">
        <v>2</v>
      </c>
      <c r="E271" t="s">
        <v>20</v>
      </c>
      <c r="F271" t="s">
        <v>725</v>
      </c>
      <c r="G271">
        <v>72</v>
      </c>
      <c r="H271">
        <v>118</v>
      </c>
      <c r="I271">
        <v>1895699</v>
      </c>
    </row>
    <row r="272" spans="4:9" x14ac:dyDescent="0.25">
      <c r="D272">
        <v>2</v>
      </c>
      <c r="E272" t="s">
        <v>12</v>
      </c>
      <c r="F272" t="s">
        <v>728</v>
      </c>
      <c r="G272">
        <v>77</v>
      </c>
      <c r="H272">
        <v>98</v>
      </c>
      <c r="I272">
        <v>1896030</v>
      </c>
    </row>
    <row r="273" spans="4:9" x14ac:dyDescent="0.25">
      <c r="D273">
        <v>2</v>
      </c>
      <c r="E273" t="s">
        <v>43</v>
      </c>
      <c r="F273" t="s">
        <v>731</v>
      </c>
      <c r="G273">
        <v>77</v>
      </c>
      <c r="H273">
        <v>100</v>
      </c>
      <c r="I273">
        <v>1896032</v>
      </c>
    </row>
    <row r="274" spans="4:9" x14ac:dyDescent="0.25">
      <c r="D274">
        <v>2</v>
      </c>
      <c r="E274" t="s">
        <v>16</v>
      </c>
      <c r="F274" t="s">
        <v>734</v>
      </c>
      <c r="G274">
        <v>77</v>
      </c>
      <c r="H274">
        <v>283</v>
      </c>
      <c r="I274">
        <v>1896149</v>
      </c>
    </row>
    <row r="275" spans="4:9" x14ac:dyDescent="0.25">
      <c r="D275">
        <v>2</v>
      </c>
      <c r="E275" t="s">
        <v>24</v>
      </c>
      <c r="F275" t="s">
        <v>737</v>
      </c>
      <c r="G275">
        <v>108</v>
      </c>
      <c r="H275">
        <v>179</v>
      </c>
      <c r="I275">
        <v>1896750</v>
      </c>
    </row>
    <row r="276" spans="4:9" x14ac:dyDescent="0.25">
      <c r="D276">
        <v>2</v>
      </c>
      <c r="E276" t="s">
        <v>16</v>
      </c>
      <c r="F276" t="s">
        <v>739</v>
      </c>
      <c r="G276">
        <v>212</v>
      </c>
      <c r="H276">
        <v>321</v>
      </c>
      <c r="I276">
        <v>1897022</v>
      </c>
    </row>
    <row r="277" spans="4:9" x14ac:dyDescent="0.25">
      <c r="D277">
        <v>2</v>
      </c>
      <c r="E277" t="s">
        <v>43</v>
      </c>
      <c r="F277" t="s">
        <v>742</v>
      </c>
      <c r="G277">
        <v>212</v>
      </c>
      <c r="H277">
        <v>12</v>
      </c>
      <c r="I277">
        <v>1897555</v>
      </c>
    </row>
    <row r="278" spans="4:9" x14ac:dyDescent="0.25">
      <c r="D278">
        <v>2</v>
      </c>
      <c r="E278" t="s">
        <v>50</v>
      </c>
      <c r="F278" t="s">
        <v>745</v>
      </c>
      <c r="G278">
        <v>200</v>
      </c>
      <c r="H278">
        <v>307</v>
      </c>
      <c r="I278">
        <v>1898059</v>
      </c>
    </row>
    <row r="279" spans="4:9" x14ac:dyDescent="0.25">
      <c r="D279">
        <v>2</v>
      </c>
      <c r="E279" t="s">
        <v>54</v>
      </c>
      <c r="F279" t="s">
        <v>748</v>
      </c>
      <c r="G279">
        <v>200</v>
      </c>
      <c r="H279">
        <v>308</v>
      </c>
      <c r="I279">
        <v>1898067</v>
      </c>
    </row>
    <row r="280" spans="4:9" x14ac:dyDescent="0.25">
      <c r="D280">
        <v>2</v>
      </c>
      <c r="E280" t="s">
        <v>31</v>
      </c>
      <c r="F280" t="s">
        <v>751</v>
      </c>
      <c r="G280">
        <v>68</v>
      </c>
      <c r="H280">
        <v>52</v>
      </c>
      <c r="I280">
        <v>1901487</v>
      </c>
    </row>
    <row r="281" spans="4:9" x14ac:dyDescent="0.25">
      <c r="D281">
        <v>2</v>
      </c>
      <c r="E281" t="s">
        <v>64</v>
      </c>
      <c r="F281" t="s">
        <v>754</v>
      </c>
      <c r="G281">
        <v>42</v>
      </c>
      <c r="H281">
        <v>135</v>
      </c>
      <c r="I281">
        <v>1901544</v>
      </c>
    </row>
    <row r="282" spans="4:9" x14ac:dyDescent="0.25">
      <c r="D282">
        <v>2</v>
      </c>
      <c r="E282" t="s">
        <v>54</v>
      </c>
      <c r="F282" t="s">
        <v>756</v>
      </c>
      <c r="G282">
        <v>42</v>
      </c>
      <c r="H282">
        <v>138</v>
      </c>
      <c r="I282">
        <v>1901549</v>
      </c>
    </row>
    <row r="283" spans="4:9" x14ac:dyDescent="0.25">
      <c r="D283">
        <v>2</v>
      </c>
      <c r="E283" t="s">
        <v>107</v>
      </c>
      <c r="F283" t="s">
        <v>758</v>
      </c>
      <c r="G283">
        <v>108</v>
      </c>
      <c r="H283">
        <v>230</v>
      </c>
      <c r="I283">
        <v>1902069</v>
      </c>
    </row>
    <row r="284" spans="4:9" x14ac:dyDescent="0.25">
      <c r="D284">
        <v>2</v>
      </c>
      <c r="E284" t="s">
        <v>64</v>
      </c>
      <c r="F284" t="s">
        <v>760</v>
      </c>
      <c r="G284">
        <v>108</v>
      </c>
      <c r="H284">
        <v>232</v>
      </c>
      <c r="I284">
        <v>1902075</v>
      </c>
    </row>
    <row r="285" spans="4:9" x14ac:dyDescent="0.25">
      <c r="D285">
        <v>2</v>
      </c>
      <c r="E285" t="s">
        <v>20</v>
      </c>
      <c r="F285" t="s">
        <v>762</v>
      </c>
      <c r="G285">
        <v>113</v>
      </c>
      <c r="H285">
        <v>2</v>
      </c>
      <c r="I285">
        <v>1902148</v>
      </c>
    </row>
    <row r="286" spans="4:9" x14ac:dyDescent="0.25">
      <c r="D286">
        <v>2</v>
      </c>
      <c r="E286" t="s">
        <v>20</v>
      </c>
      <c r="F286" t="s">
        <v>764</v>
      </c>
      <c r="G286">
        <v>42</v>
      </c>
      <c r="H286">
        <v>276</v>
      </c>
      <c r="I286">
        <v>1902313</v>
      </c>
    </row>
    <row r="287" spans="4:9" x14ac:dyDescent="0.25">
      <c r="D287">
        <v>2</v>
      </c>
      <c r="E287" t="s">
        <v>155</v>
      </c>
      <c r="F287" t="s">
        <v>766</v>
      </c>
      <c r="G287">
        <v>77</v>
      </c>
      <c r="H287">
        <v>257</v>
      </c>
      <c r="I287">
        <v>1903616</v>
      </c>
    </row>
    <row r="288" spans="4:9" x14ac:dyDescent="0.25">
      <c r="D288">
        <v>2</v>
      </c>
      <c r="E288" t="s">
        <v>12</v>
      </c>
      <c r="F288" t="s">
        <v>769</v>
      </c>
      <c r="G288">
        <v>77</v>
      </c>
      <c r="H288">
        <v>259</v>
      </c>
      <c r="I288">
        <v>1903617</v>
      </c>
    </row>
    <row r="289" spans="4:9" x14ac:dyDescent="0.25">
      <c r="D289">
        <v>2</v>
      </c>
      <c r="E289" t="s">
        <v>155</v>
      </c>
      <c r="F289" t="s">
        <v>772</v>
      </c>
      <c r="G289">
        <v>77</v>
      </c>
      <c r="H289">
        <v>269</v>
      </c>
      <c r="I289">
        <v>1903621</v>
      </c>
    </row>
    <row r="290" spans="4:9" x14ac:dyDescent="0.25">
      <c r="D290">
        <v>2</v>
      </c>
      <c r="E290" t="s">
        <v>50</v>
      </c>
      <c r="F290" t="s">
        <v>775</v>
      </c>
      <c r="G290">
        <v>55</v>
      </c>
      <c r="H290">
        <v>207</v>
      </c>
      <c r="I290">
        <v>1905347</v>
      </c>
    </row>
    <row r="291" spans="4:9" x14ac:dyDescent="0.25">
      <c r="D291">
        <v>2</v>
      </c>
      <c r="E291" t="s">
        <v>255</v>
      </c>
      <c r="F291" t="s">
        <v>778</v>
      </c>
      <c r="G291">
        <v>66</v>
      </c>
      <c r="H291">
        <v>65</v>
      </c>
      <c r="I291">
        <v>1905369</v>
      </c>
    </row>
    <row r="292" spans="4:9" x14ac:dyDescent="0.25">
      <c r="D292">
        <v>2</v>
      </c>
      <c r="E292" t="s">
        <v>24</v>
      </c>
      <c r="F292" t="s">
        <v>259</v>
      </c>
      <c r="G292">
        <v>93</v>
      </c>
      <c r="H292">
        <v>268</v>
      </c>
      <c r="I292">
        <v>1905860</v>
      </c>
    </row>
    <row r="293" spans="4:9" x14ac:dyDescent="0.25">
      <c r="D293">
        <v>2</v>
      </c>
      <c r="E293" t="s">
        <v>35</v>
      </c>
      <c r="F293" t="s">
        <v>781</v>
      </c>
      <c r="G293">
        <v>82</v>
      </c>
      <c r="H293">
        <v>184</v>
      </c>
      <c r="I293">
        <v>1907234</v>
      </c>
    </row>
    <row r="294" spans="4:9" x14ac:dyDescent="0.25">
      <c r="D294">
        <v>2</v>
      </c>
      <c r="E294" t="s">
        <v>20</v>
      </c>
      <c r="F294" t="s">
        <v>784</v>
      </c>
      <c r="G294">
        <v>102</v>
      </c>
      <c r="H294">
        <v>8</v>
      </c>
      <c r="I294">
        <v>1908195</v>
      </c>
    </row>
    <row r="295" spans="4:9" x14ac:dyDescent="0.25">
      <c r="D295">
        <v>2</v>
      </c>
      <c r="E295" t="s">
        <v>24</v>
      </c>
      <c r="F295" t="s">
        <v>787</v>
      </c>
      <c r="G295">
        <v>72</v>
      </c>
      <c r="H295">
        <v>245</v>
      </c>
      <c r="I295">
        <v>1909209</v>
      </c>
    </row>
    <row r="296" spans="4:9" x14ac:dyDescent="0.25">
      <c r="D296">
        <v>2</v>
      </c>
      <c r="E296" t="s">
        <v>50</v>
      </c>
      <c r="F296" t="s">
        <v>790</v>
      </c>
      <c r="G296">
        <v>42</v>
      </c>
      <c r="H296">
        <v>284</v>
      </c>
      <c r="I296">
        <v>1910372</v>
      </c>
    </row>
    <row r="297" spans="4:9" x14ac:dyDescent="0.25">
      <c r="D297">
        <v>2</v>
      </c>
      <c r="E297" t="s">
        <v>43</v>
      </c>
      <c r="F297" t="s">
        <v>280</v>
      </c>
      <c r="G297">
        <v>110</v>
      </c>
      <c r="H297">
        <v>50</v>
      </c>
      <c r="I297">
        <v>1910451</v>
      </c>
    </row>
    <row r="298" spans="4:9" x14ac:dyDescent="0.25">
      <c r="D298">
        <v>2</v>
      </c>
      <c r="E298" t="s">
        <v>16</v>
      </c>
      <c r="F298" t="s">
        <v>792</v>
      </c>
      <c r="G298">
        <v>72</v>
      </c>
      <c r="H298">
        <v>54</v>
      </c>
      <c r="I298">
        <v>1911932</v>
      </c>
    </row>
    <row r="299" spans="4:9" x14ac:dyDescent="0.25">
      <c r="D299">
        <v>2</v>
      </c>
      <c r="E299" t="s">
        <v>183</v>
      </c>
      <c r="F299" t="s">
        <v>795</v>
      </c>
      <c r="G299">
        <v>77</v>
      </c>
      <c r="H299">
        <v>121</v>
      </c>
      <c r="I299">
        <v>1912525</v>
      </c>
    </row>
    <row r="300" spans="4:9" x14ac:dyDescent="0.25">
      <c r="D300">
        <v>2</v>
      </c>
      <c r="E300" t="s">
        <v>24</v>
      </c>
      <c r="F300" t="s">
        <v>798</v>
      </c>
      <c r="G300">
        <v>77</v>
      </c>
      <c r="H300">
        <v>113</v>
      </c>
      <c r="I300">
        <v>1912548</v>
      </c>
    </row>
    <row r="302" spans="4:9" x14ac:dyDescent="0.25">
      <c r="D302">
        <v>2</v>
      </c>
      <c r="E302" t="s">
        <v>43</v>
      </c>
      <c r="F302" t="s">
        <v>801</v>
      </c>
      <c r="G302">
        <v>42</v>
      </c>
      <c r="H302">
        <v>71</v>
      </c>
      <c r="I302">
        <v>1913436</v>
      </c>
    </row>
    <row r="303" spans="4:9" x14ac:dyDescent="0.25">
      <c r="D303">
        <v>2</v>
      </c>
      <c r="E303" t="s">
        <v>54</v>
      </c>
      <c r="F303" t="s">
        <v>803</v>
      </c>
      <c r="G303">
        <v>42</v>
      </c>
      <c r="H303">
        <v>237</v>
      </c>
      <c r="I303">
        <v>1913699</v>
      </c>
    </row>
    <row r="304" spans="4:9" x14ac:dyDescent="0.25">
      <c r="D304">
        <v>2</v>
      </c>
      <c r="E304" t="s">
        <v>50</v>
      </c>
      <c r="F304" t="s">
        <v>805</v>
      </c>
      <c r="G304">
        <v>42</v>
      </c>
      <c r="H304">
        <v>235</v>
      </c>
      <c r="I304">
        <v>1913702</v>
      </c>
    </row>
    <row r="305" spans="4:9" x14ac:dyDescent="0.25">
      <c r="D305">
        <v>2</v>
      </c>
      <c r="E305" t="s">
        <v>24</v>
      </c>
      <c r="F305" t="s">
        <v>807</v>
      </c>
      <c r="G305">
        <v>82</v>
      </c>
      <c r="H305">
        <v>99</v>
      </c>
      <c r="I305">
        <v>1913770</v>
      </c>
    </row>
    <row r="306" spans="4:9" x14ac:dyDescent="0.25">
      <c r="D306">
        <v>2</v>
      </c>
      <c r="E306" t="s">
        <v>8</v>
      </c>
      <c r="F306" t="s">
        <v>810</v>
      </c>
      <c r="G306">
        <v>42</v>
      </c>
      <c r="H306">
        <v>219</v>
      </c>
      <c r="I306">
        <v>1913928</v>
      </c>
    </row>
    <row r="307" spans="4:9" x14ac:dyDescent="0.25">
      <c r="D307">
        <v>2</v>
      </c>
      <c r="E307" t="s">
        <v>12</v>
      </c>
      <c r="F307" t="s">
        <v>812</v>
      </c>
      <c r="G307">
        <v>42</v>
      </c>
      <c r="H307">
        <v>221</v>
      </c>
      <c r="I307">
        <v>1913945</v>
      </c>
    </row>
    <row r="308" spans="4:9" x14ac:dyDescent="0.25">
      <c r="D308">
        <v>2</v>
      </c>
      <c r="E308" t="s">
        <v>183</v>
      </c>
      <c r="F308" t="s">
        <v>814</v>
      </c>
      <c r="G308">
        <v>134</v>
      </c>
      <c r="H308">
        <v>168</v>
      </c>
      <c r="I308">
        <v>1914467</v>
      </c>
    </row>
    <row r="309" spans="4:9" x14ac:dyDescent="0.25">
      <c r="D309">
        <v>2</v>
      </c>
      <c r="E309" t="s">
        <v>39</v>
      </c>
      <c r="F309" t="s">
        <v>817</v>
      </c>
      <c r="G309">
        <v>82</v>
      </c>
      <c r="H309">
        <v>145</v>
      </c>
      <c r="I309">
        <v>1914909</v>
      </c>
    </row>
    <row r="310" spans="4:9" x14ac:dyDescent="0.25">
      <c r="D310">
        <v>2</v>
      </c>
      <c r="E310" t="s">
        <v>24</v>
      </c>
      <c r="F310" t="s">
        <v>820</v>
      </c>
      <c r="G310">
        <v>104</v>
      </c>
      <c r="H310">
        <v>225</v>
      </c>
      <c r="I310">
        <v>1915317</v>
      </c>
    </row>
    <row r="311" spans="4:9" x14ac:dyDescent="0.25">
      <c r="D311">
        <v>2</v>
      </c>
      <c r="E311" t="s">
        <v>35</v>
      </c>
      <c r="F311" t="s">
        <v>823</v>
      </c>
      <c r="G311">
        <v>31</v>
      </c>
      <c r="H311">
        <v>47</v>
      </c>
      <c r="I311">
        <v>1915338</v>
      </c>
    </row>
    <row r="312" spans="4:9" x14ac:dyDescent="0.25">
      <c r="D312">
        <v>2</v>
      </c>
      <c r="E312" t="s">
        <v>39</v>
      </c>
      <c r="F312" t="s">
        <v>826</v>
      </c>
      <c r="G312">
        <v>10</v>
      </c>
      <c r="H312">
        <v>11</v>
      </c>
      <c r="I312">
        <v>1915828</v>
      </c>
    </row>
    <row r="313" spans="4:9" x14ac:dyDescent="0.25">
      <c r="D313">
        <v>2</v>
      </c>
      <c r="E313" t="s">
        <v>183</v>
      </c>
      <c r="F313" t="s">
        <v>829</v>
      </c>
      <c r="G313">
        <v>72</v>
      </c>
      <c r="H313">
        <v>148</v>
      </c>
      <c r="I313">
        <v>1916183</v>
      </c>
    </row>
    <row r="314" spans="4:9" x14ac:dyDescent="0.25">
      <c r="D314">
        <v>2</v>
      </c>
      <c r="E314" t="s">
        <v>107</v>
      </c>
      <c r="F314" t="s">
        <v>832</v>
      </c>
      <c r="G314">
        <v>72</v>
      </c>
      <c r="H314">
        <v>151</v>
      </c>
      <c r="I314">
        <v>1916194</v>
      </c>
    </row>
    <row r="315" spans="4:9" x14ac:dyDescent="0.25">
      <c r="D315">
        <v>2</v>
      </c>
      <c r="E315" t="s">
        <v>12</v>
      </c>
      <c r="F315" t="s">
        <v>835</v>
      </c>
      <c r="G315">
        <v>72</v>
      </c>
      <c r="H315">
        <v>150</v>
      </c>
      <c r="I315">
        <v>1916222</v>
      </c>
    </row>
    <row r="316" spans="4:9" x14ac:dyDescent="0.25">
      <c r="D316">
        <v>2</v>
      </c>
      <c r="E316" t="s">
        <v>39</v>
      </c>
      <c r="F316" t="s">
        <v>838</v>
      </c>
      <c r="G316">
        <v>93</v>
      </c>
      <c r="H316">
        <v>39</v>
      </c>
      <c r="I316">
        <v>1916814</v>
      </c>
    </row>
    <row r="317" spans="4:9" x14ac:dyDescent="0.25">
      <c r="D317">
        <v>2</v>
      </c>
      <c r="E317" t="s">
        <v>155</v>
      </c>
      <c r="F317" t="s">
        <v>841</v>
      </c>
      <c r="G317">
        <v>42</v>
      </c>
      <c r="H317">
        <v>293</v>
      </c>
      <c r="I317">
        <v>1918790</v>
      </c>
    </row>
    <row r="318" spans="4:9" x14ac:dyDescent="0.25">
      <c r="D318">
        <v>2</v>
      </c>
      <c r="E318" t="s">
        <v>24</v>
      </c>
      <c r="F318" t="s">
        <v>843</v>
      </c>
      <c r="G318">
        <v>42</v>
      </c>
      <c r="H318">
        <v>7</v>
      </c>
      <c r="I318">
        <v>1918864</v>
      </c>
    </row>
    <row r="319" spans="4:9" x14ac:dyDescent="0.25">
      <c r="D319">
        <v>2</v>
      </c>
      <c r="E319" t="s">
        <v>39</v>
      </c>
      <c r="F319" t="s">
        <v>324</v>
      </c>
      <c r="G319">
        <v>42</v>
      </c>
      <c r="H319">
        <v>10</v>
      </c>
      <c r="I319">
        <v>1918865</v>
      </c>
    </row>
    <row r="320" spans="4:9" x14ac:dyDescent="0.25">
      <c r="D320">
        <v>2</v>
      </c>
      <c r="E320" t="s">
        <v>39</v>
      </c>
      <c r="F320" t="s">
        <v>845</v>
      </c>
      <c r="G320">
        <v>42</v>
      </c>
      <c r="H320">
        <v>17</v>
      </c>
      <c r="I320">
        <v>1918872</v>
      </c>
    </row>
    <row r="321" spans="4:9" x14ac:dyDescent="0.25">
      <c r="D321">
        <v>2</v>
      </c>
      <c r="E321" t="s">
        <v>43</v>
      </c>
      <c r="F321" t="s">
        <v>847</v>
      </c>
      <c r="G321">
        <v>42</v>
      </c>
      <c r="H321">
        <v>18</v>
      </c>
      <c r="I321">
        <v>1918881</v>
      </c>
    </row>
    <row r="322" spans="4:9" x14ac:dyDescent="0.25">
      <c r="D322">
        <v>2</v>
      </c>
      <c r="E322" t="s">
        <v>43</v>
      </c>
      <c r="F322" t="s">
        <v>849</v>
      </c>
      <c r="G322">
        <v>42</v>
      </c>
      <c r="H322">
        <v>61</v>
      </c>
      <c r="I322">
        <v>1919067</v>
      </c>
    </row>
    <row r="323" spans="4:9" x14ac:dyDescent="0.25">
      <c r="D323">
        <v>2</v>
      </c>
      <c r="E323" t="s">
        <v>64</v>
      </c>
      <c r="F323" t="s">
        <v>851</v>
      </c>
      <c r="G323">
        <v>42</v>
      </c>
      <c r="H323">
        <v>312</v>
      </c>
      <c r="I323">
        <v>1919973</v>
      </c>
    </row>
    <row r="324" spans="4:9" x14ac:dyDescent="0.25">
      <c r="D324">
        <v>2</v>
      </c>
      <c r="E324" t="s">
        <v>54</v>
      </c>
      <c r="F324" t="s">
        <v>853</v>
      </c>
      <c r="G324">
        <v>82</v>
      </c>
      <c r="H324">
        <v>58</v>
      </c>
      <c r="I324">
        <v>1920175</v>
      </c>
    </row>
    <row r="325" spans="4:9" x14ac:dyDescent="0.25">
      <c r="D325">
        <v>2</v>
      </c>
      <c r="E325" t="s">
        <v>20</v>
      </c>
      <c r="F325" t="s">
        <v>856</v>
      </c>
      <c r="G325">
        <v>82</v>
      </c>
      <c r="H325">
        <v>41</v>
      </c>
      <c r="I325">
        <v>1920180</v>
      </c>
    </row>
    <row r="326" spans="4:9" x14ac:dyDescent="0.25">
      <c r="D326">
        <v>2</v>
      </c>
      <c r="E326" t="s">
        <v>50</v>
      </c>
      <c r="F326" t="s">
        <v>859</v>
      </c>
      <c r="G326">
        <v>125</v>
      </c>
      <c r="H326">
        <v>38</v>
      </c>
      <c r="I326">
        <v>1922593</v>
      </c>
    </row>
    <row r="327" spans="4:9" x14ac:dyDescent="0.25">
      <c r="D327">
        <v>2</v>
      </c>
      <c r="E327" t="s">
        <v>183</v>
      </c>
      <c r="F327" t="s">
        <v>862</v>
      </c>
      <c r="G327">
        <v>104</v>
      </c>
      <c r="H327">
        <v>120</v>
      </c>
      <c r="I327">
        <v>1923520</v>
      </c>
    </row>
    <row r="328" spans="4:9" x14ac:dyDescent="0.25">
      <c r="D328">
        <v>2</v>
      </c>
      <c r="E328" t="s">
        <v>39</v>
      </c>
      <c r="F328" t="s">
        <v>865</v>
      </c>
      <c r="G328">
        <v>77</v>
      </c>
      <c r="H328">
        <v>162</v>
      </c>
      <c r="I328">
        <v>1923629</v>
      </c>
    </row>
    <row r="329" spans="4:9" x14ac:dyDescent="0.25">
      <c r="D329">
        <v>2</v>
      </c>
      <c r="E329" t="s">
        <v>12</v>
      </c>
      <c r="F329" t="s">
        <v>868</v>
      </c>
      <c r="G329">
        <v>104</v>
      </c>
      <c r="H329">
        <v>152</v>
      </c>
      <c r="I329">
        <v>1924289</v>
      </c>
    </row>
    <row r="330" spans="4:9" x14ac:dyDescent="0.25">
      <c r="D330">
        <v>2</v>
      </c>
      <c r="E330" t="s">
        <v>50</v>
      </c>
      <c r="F330" t="s">
        <v>871</v>
      </c>
      <c r="G330">
        <v>77</v>
      </c>
      <c r="H330">
        <v>24</v>
      </c>
      <c r="I330">
        <v>1924430</v>
      </c>
    </row>
    <row r="331" spans="4:9" x14ac:dyDescent="0.25">
      <c r="D331">
        <v>2</v>
      </c>
      <c r="E331" t="s">
        <v>64</v>
      </c>
      <c r="F331" t="s">
        <v>874</v>
      </c>
      <c r="G331">
        <v>77</v>
      </c>
      <c r="H331">
        <v>26</v>
      </c>
      <c r="I331">
        <v>1924440</v>
      </c>
    </row>
    <row r="332" spans="4:9" x14ac:dyDescent="0.25">
      <c r="D332">
        <v>2</v>
      </c>
      <c r="E332" t="s">
        <v>39</v>
      </c>
      <c r="F332" t="s">
        <v>877</v>
      </c>
      <c r="G332">
        <v>104</v>
      </c>
      <c r="H332">
        <v>262</v>
      </c>
      <c r="I332">
        <v>1925630</v>
      </c>
    </row>
    <row r="333" spans="4:9" x14ac:dyDescent="0.25">
      <c r="D333">
        <v>2</v>
      </c>
      <c r="E333" t="s">
        <v>43</v>
      </c>
      <c r="F333" t="s">
        <v>880</v>
      </c>
      <c r="G333">
        <v>200</v>
      </c>
      <c r="H333">
        <v>70</v>
      </c>
      <c r="I333">
        <v>1926294</v>
      </c>
    </row>
    <row r="334" spans="4:9" x14ac:dyDescent="0.25">
      <c r="D334">
        <v>2</v>
      </c>
      <c r="E334" t="s">
        <v>24</v>
      </c>
      <c r="F334" t="s">
        <v>883</v>
      </c>
      <c r="G334">
        <v>153</v>
      </c>
      <c r="H334">
        <v>296</v>
      </c>
      <c r="I334">
        <v>1926549</v>
      </c>
    </row>
    <row r="335" spans="4:9" x14ac:dyDescent="0.25">
      <c r="D335">
        <v>2</v>
      </c>
      <c r="E335" t="s">
        <v>35</v>
      </c>
      <c r="F335" t="s">
        <v>886</v>
      </c>
      <c r="G335">
        <v>153</v>
      </c>
      <c r="H335">
        <v>60</v>
      </c>
      <c r="I335">
        <v>1926695</v>
      </c>
    </row>
    <row r="336" spans="4:9" x14ac:dyDescent="0.25">
      <c r="D336">
        <v>2</v>
      </c>
      <c r="E336" t="s">
        <v>35</v>
      </c>
      <c r="F336" t="s">
        <v>889</v>
      </c>
      <c r="G336">
        <v>42</v>
      </c>
      <c r="H336">
        <v>92</v>
      </c>
      <c r="I336">
        <v>1926827</v>
      </c>
    </row>
    <row r="337" spans="4:9" x14ac:dyDescent="0.25">
      <c r="D337">
        <v>2</v>
      </c>
      <c r="E337" t="s">
        <v>64</v>
      </c>
      <c r="F337" t="s">
        <v>891</v>
      </c>
      <c r="G337">
        <v>42</v>
      </c>
      <c r="H337">
        <v>91</v>
      </c>
      <c r="I337">
        <v>1926828</v>
      </c>
    </row>
    <row r="338" spans="4:9" x14ac:dyDescent="0.25">
      <c r="D338">
        <v>2</v>
      </c>
      <c r="E338" t="s">
        <v>20</v>
      </c>
      <c r="F338" t="s">
        <v>893</v>
      </c>
      <c r="G338">
        <v>153</v>
      </c>
      <c r="H338">
        <v>195</v>
      </c>
      <c r="I338">
        <v>1927027</v>
      </c>
    </row>
    <row r="339" spans="4:9" x14ac:dyDescent="0.25">
      <c r="D339">
        <v>2</v>
      </c>
      <c r="E339" t="s">
        <v>20</v>
      </c>
      <c r="F339" t="s">
        <v>896</v>
      </c>
      <c r="G339">
        <v>102</v>
      </c>
      <c r="H339">
        <v>209</v>
      </c>
      <c r="I339">
        <v>1927733</v>
      </c>
    </row>
    <row r="340" spans="4:9" x14ac:dyDescent="0.25">
      <c r="D340">
        <v>2</v>
      </c>
      <c r="E340" t="s">
        <v>12</v>
      </c>
      <c r="F340" t="s">
        <v>899</v>
      </c>
      <c r="G340">
        <v>113</v>
      </c>
      <c r="H340">
        <v>170</v>
      </c>
      <c r="I340">
        <v>1928067</v>
      </c>
    </row>
    <row r="341" spans="4:9" x14ac:dyDescent="0.25">
      <c r="D341">
        <v>2</v>
      </c>
      <c r="E341" t="s">
        <v>155</v>
      </c>
      <c r="F341" t="s">
        <v>901</v>
      </c>
      <c r="G341">
        <v>113</v>
      </c>
      <c r="H341">
        <v>181</v>
      </c>
      <c r="I341">
        <v>1928072</v>
      </c>
    </row>
    <row r="342" spans="4:9" x14ac:dyDescent="0.25">
      <c r="D342">
        <v>2</v>
      </c>
      <c r="E342" t="s">
        <v>20</v>
      </c>
      <c r="F342" t="s">
        <v>903</v>
      </c>
      <c r="G342">
        <v>109</v>
      </c>
      <c r="H342">
        <v>9</v>
      </c>
      <c r="I342">
        <v>1931577</v>
      </c>
    </row>
    <row r="343" spans="4:9" x14ac:dyDescent="0.25">
      <c r="D343">
        <v>2</v>
      </c>
      <c r="E343" t="s">
        <v>50</v>
      </c>
      <c r="F343" t="s">
        <v>906</v>
      </c>
      <c r="G343">
        <v>109</v>
      </c>
      <c r="H343">
        <v>85</v>
      </c>
      <c r="I343">
        <v>1932824</v>
      </c>
    </row>
    <row r="344" spans="4:9" x14ac:dyDescent="0.25">
      <c r="D344">
        <v>2</v>
      </c>
      <c r="E344" t="s">
        <v>54</v>
      </c>
      <c r="F344" t="s">
        <v>909</v>
      </c>
      <c r="G344">
        <v>165</v>
      </c>
      <c r="H344">
        <v>126</v>
      </c>
      <c r="I344">
        <v>1933816</v>
      </c>
    </row>
    <row r="345" spans="4:9" x14ac:dyDescent="0.25">
      <c r="D345">
        <v>2</v>
      </c>
      <c r="E345" t="s">
        <v>16</v>
      </c>
      <c r="F345" t="s">
        <v>912</v>
      </c>
      <c r="G345">
        <v>66</v>
      </c>
      <c r="H345">
        <v>87</v>
      </c>
      <c r="I345">
        <v>1934775</v>
      </c>
    </row>
    <row r="346" spans="4:9" x14ac:dyDescent="0.25">
      <c r="D346">
        <v>2</v>
      </c>
      <c r="E346" t="s">
        <v>64</v>
      </c>
      <c r="F346" t="s">
        <v>915</v>
      </c>
      <c r="G346">
        <v>41</v>
      </c>
      <c r="H346">
        <v>317</v>
      </c>
      <c r="I346">
        <v>1935199</v>
      </c>
    </row>
    <row r="347" spans="4:9" x14ac:dyDescent="0.25">
      <c r="D347">
        <v>2</v>
      </c>
      <c r="E347" t="s">
        <v>43</v>
      </c>
      <c r="F347" t="s">
        <v>918</v>
      </c>
      <c r="G347">
        <v>48</v>
      </c>
      <c r="H347">
        <v>13</v>
      </c>
      <c r="I347">
        <v>1935685</v>
      </c>
    </row>
    <row r="348" spans="4:9" x14ac:dyDescent="0.25">
      <c r="D348">
        <v>2</v>
      </c>
      <c r="E348" t="s">
        <v>183</v>
      </c>
      <c r="F348" t="s">
        <v>921</v>
      </c>
      <c r="G348">
        <v>207</v>
      </c>
      <c r="H348">
        <v>153</v>
      </c>
      <c r="I348">
        <v>1937783</v>
      </c>
    </row>
    <row r="349" spans="4:9" x14ac:dyDescent="0.25">
      <c r="D349">
        <v>2</v>
      </c>
      <c r="E349" t="s">
        <v>155</v>
      </c>
      <c r="F349" t="s">
        <v>924</v>
      </c>
      <c r="G349">
        <v>3</v>
      </c>
      <c r="H349">
        <v>294</v>
      </c>
      <c r="I349">
        <v>1938437</v>
      </c>
    </row>
    <row r="350" spans="4:9" x14ac:dyDescent="0.25">
      <c r="D350">
        <v>2</v>
      </c>
      <c r="E350" t="s">
        <v>35</v>
      </c>
      <c r="F350" t="s">
        <v>927</v>
      </c>
      <c r="G350">
        <v>165</v>
      </c>
      <c r="H350">
        <v>36</v>
      </c>
      <c r="I350">
        <v>1938792</v>
      </c>
    </row>
    <row r="351" spans="4:9" x14ac:dyDescent="0.25">
      <c r="D351">
        <v>2</v>
      </c>
      <c r="E351" t="s">
        <v>64</v>
      </c>
      <c r="F351" t="s">
        <v>930</v>
      </c>
      <c r="G351">
        <v>106</v>
      </c>
      <c r="H351">
        <v>35</v>
      </c>
      <c r="I351">
        <v>1938899</v>
      </c>
    </row>
    <row r="352" spans="4:9" x14ac:dyDescent="0.25">
      <c r="D352">
        <v>2</v>
      </c>
      <c r="E352" t="s">
        <v>16</v>
      </c>
      <c r="F352" t="s">
        <v>933</v>
      </c>
      <c r="G352">
        <v>108</v>
      </c>
      <c r="H352">
        <v>326</v>
      </c>
      <c r="I352">
        <v>1939708</v>
      </c>
    </row>
    <row r="353" spans="4:9" x14ac:dyDescent="0.25">
      <c r="D353">
        <v>2</v>
      </c>
      <c r="E353" t="s">
        <v>16</v>
      </c>
      <c r="F353" t="s">
        <v>935</v>
      </c>
      <c r="G353">
        <v>13</v>
      </c>
      <c r="H353">
        <v>49</v>
      </c>
      <c r="I353">
        <v>1939795</v>
      </c>
    </row>
    <row r="354" spans="4:9" x14ac:dyDescent="0.25">
      <c r="D354">
        <v>2</v>
      </c>
      <c r="E354" t="s">
        <v>39</v>
      </c>
      <c r="F354" t="s">
        <v>938</v>
      </c>
      <c r="G354">
        <v>13</v>
      </c>
      <c r="H354">
        <v>56</v>
      </c>
      <c r="I354">
        <v>1939838</v>
      </c>
    </row>
    <row r="355" spans="4:9" x14ac:dyDescent="0.25">
      <c r="D355">
        <v>2</v>
      </c>
      <c r="E355" t="s">
        <v>35</v>
      </c>
      <c r="F355" t="s">
        <v>941</v>
      </c>
      <c r="G355">
        <v>13</v>
      </c>
      <c r="H355">
        <v>123</v>
      </c>
      <c r="I355">
        <v>1940263</v>
      </c>
    </row>
    <row r="356" spans="4:9" x14ac:dyDescent="0.25">
      <c r="D356">
        <v>2</v>
      </c>
      <c r="E356" t="s">
        <v>31</v>
      </c>
      <c r="F356" t="s">
        <v>941</v>
      </c>
      <c r="G356">
        <v>13</v>
      </c>
      <c r="H356">
        <v>124</v>
      </c>
      <c r="I356">
        <v>1940263</v>
      </c>
    </row>
    <row r="357" spans="4:9" x14ac:dyDescent="0.25">
      <c r="D357">
        <v>2</v>
      </c>
      <c r="E357" t="s">
        <v>35</v>
      </c>
      <c r="F357" t="s">
        <v>944</v>
      </c>
      <c r="G357">
        <v>13</v>
      </c>
      <c r="H357">
        <v>134</v>
      </c>
      <c r="I357">
        <v>1940414</v>
      </c>
    </row>
    <row r="358" spans="4:9" x14ac:dyDescent="0.25">
      <c r="D358">
        <v>2</v>
      </c>
      <c r="E358" t="s">
        <v>12</v>
      </c>
      <c r="F358" t="s">
        <v>947</v>
      </c>
      <c r="G358">
        <v>13</v>
      </c>
      <c r="H358">
        <v>143</v>
      </c>
      <c r="I358">
        <v>1940438</v>
      </c>
    </row>
    <row r="359" spans="4:9" x14ac:dyDescent="0.25">
      <c r="D359">
        <v>2</v>
      </c>
      <c r="E359" t="s">
        <v>107</v>
      </c>
      <c r="F359" t="s">
        <v>950</v>
      </c>
      <c r="G359">
        <v>164</v>
      </c>
      <c r="H359">
        <v>97</v>
      </c>
      <c r="I359">
        <v>1942126</v>
      </c>
    </row>
    <row r="360" spans="4:9" x14ac:dyDescent="0.25">
      <c r="D360">
        <v>2</v>
      </c>
      <c r="E360" t="s">
        <v>16</v>
      </c>
      <c r="F360" t="s">
        <v>953</v>
      </c>
      <c r="G360">
        <v>20</v>
      </c>
      <c r="H360">
        <v>29</v>
      </c>
      <c r="I360">
        <v>1942753</v>
      </c>
    </row>
    <row r="361" spans="4:9" x14ac:dyDescent="0.25">
      <c r="D361">
        <v>2</v>
      </c>
      <c r="E361" t="s">
        <v>12</v>
      </c>
      <c r="F361" t="s">
        <v>956</v>
      </c>
      <c r="G361">
        <v>42</v>
      </c>
      <c r="H361">
        <v>263</v>
      </c>
      <c r="I361">
        <v>1945132</v>
      </c>
    </row>
    <row r="362" spans="4:9" x14ac:dyDescent="0.25">
      <c r="D362">
        <v>2</v>
      </c>
      <c r="E362" t="s">
        <v>12</v>
      </c>
      <c r="F362" t="s">
        <v>958</v>
      </c>
      <c r="G362">
        <v>42</v>
      </c>
      <c r="H362">
        <v>248</v>
      </c>
      <c r="I362">
        <v>1945200</v>
      </c>
    </row>
    <row r="363" spans="4:9" x14ac:dyDescent="0.25">
      <c r="D363">
        <v>2</v>
      </c>
      <c r="E363" t="s">
        <v>54</v>
      </c>
      <c r="F363" t="s">
        <v>960</v>
      </c>
      <c r="G363">
        <v>13</v>
      </c>
      <c r="H363">
        <v>183</v>
      </c>
      <c r="I363">
        <v>1945588</v>
      </c>
    </row>
    <row r="364" spans="4:9" x14ac:dyDescent="0.25">
      <c r="D364">
        <v>2</v>
      </c>
      <c r="E364" t="s">
        <v>20</v>
      </c>
      <c r="F364" t="s">
        <v>963</v>
      </c>
      <c r="G364">
        <v>13</v>
      </c>
      <c r="H364">
        <v>205</v>
      </c>
      <c r="I364">
        <v>1945982</v>
      </c>
    </row>
    <row r="365" spans="4:9" x14ac:dyDescent="0.25">
      <c r="D365">
        <v>2</v>
      </c>
      <c r="E365" t="s">
        <v>43</v>
      </c>
      <c r="F365" t="s">
        <v>966</v>
      </c>
      <c r="G365">
        <v>13</v>
      </c>
      <c r="H365">
        <v>238</v>
      </c>
      <c r="I365">
        <v>1946129</v>
      </c>
    </row>
    <row r="366" spans="4:9" x14ac:dyDescent="0.25">
      <c r="D366">
        <v>2</v>
      </c>
      <c r="E366" t="s">
        <v>12</v>
      </c>
      <c r="F366" t="s">
        <v>449</v>
      </c>
      <c r="G366">
        <v>13</v>
      </c>
      <c r="H366">
        <v>242</v>
      </c>
      <c r="I366">
        <v>1946150</v>
      </c>
    </row>
    <row r="367" spans="4:9" x14ac:dyDescent="0.25">
      <c r="D367">
        <v>2</v>
      </c>
      <c r="E367" t="s">
        <v>20</v>
      </c>
      <c r="F367" t="s">
        <v>449</v>
      </c>
      <c r="G367">
        <v>13</v>
      </c>
      <c r="H367">
        <v>244</v>
      </c>
      <c r="I367">
        <v>1946150</v>
      </c>
    </row>
    <row r="368" spans="4:9" x14ac:dyDescent="0.25">
      <c r="D368">
        <v>2</v>
      </c>
      <c r="E368" t="s">
        <v>183</v>
      </c>
      <c r="F368" t="s">
        <v>969</v>
      </c>
      <c r="G368">
        <v>13</v>
      </c>
      <c r="H368">
        <v>260</v>
      </c>
      <c r="I368">
        <v>1946172</v>
      </c>
    </row>
    <row r="369" spans="4:9" x14ac:dyDescent="0.25">
      <c r="D369">
        <v>2</v>
      </c>
      <c r="E369" t="s">
        <v>24</v>
      </c>
      <c r="F369" t="s">
        <v>972</v>
      </c>
      <c r="G369">
        <v>13</v>
      </c>
      <c r="H369">
        <v>266</v>
      </c>
      <c r="I369">
        <v>1946185</v>
      </c>
    </row>
    <row r="370" spans="4:9" x14ac:dyDescent="0.25">
      <c r="D370">
        <v>2</v>
      </c>
      <c r="E370" t="s">
        <v>24</v>
      </c>
      <c r="F370" t="s">
        <v>975</v>
      </c>
      <c r="G370">
        <v>13</v>
      </c>
      <c r="H370">
        <v>258</v>
      </c>
      <c r="I370">
        <v>1946200</v>
      </c>
    </row>
    <row r="371" spans="4:9" x14ac:dyDescent="0.25">
      <c r="D371">
        <v>2</v>
      </c>
      <c r="E371" t="s">
        <v>39</v>
      </c>
      <c r="F371" t="s">
        <v>978</v>
      </c>
      <c r="G371">
        <v>13</v>
      </c>
      <c r="H371">
        <v>240</v>
      </c>
      <c r="I371">
        <v>1946212</v>
      </c>
    </row>
    <row r="372" spans="4:9" x14ac:dyDescent="0.25">
      <c r="D372">
        <v>2</v>
      </c>
      <c r="E372" t="s">
        <v>50</v>
      </c>
      <c r="F372" t="s">
        <v>981</v>
      </c>
      <c r="G372">
        <v>15</v>
      </c>
      <c r="H372">
        <v>280</v>
      </c>
      <c r="I372">
        <v>1946883</v>
      </c>
    </row>
    <row r="373" spans="4:9" x14ac:dyDescent="0.25">
      <c r="D373">
        <v>2</v>
      </c>
      <c r="E373" t="s">
        <v>255</v>
      </c>
      <c r="F373" t="s">
        <v>984</v>
      </c>
      <c r="G373">
        <v>30</v>
      </c>
      <c r="H373">
        <v>42</v>
      </c>
      <c r="I373">
        <v>1951928</v>
      </c>
    </row>
    <row r="374" spans="4:9" x14ac:dyDescent="0.25">
      <c r="D374">
        <v>2</v>
      </c>
      <c r="E374" t="s">
        <v>35</v>
      </c>
      <c r="F374" t="s">
        <v>987</v>
      </c>
      <c r="G374">
        <v>30</v>
      </c>
      <c r="H374">
        <v>105</v>
      </c>
      <c r="I374">
        <v>1952595</v>
      </c>
    </row>
    <row r="375" spans="4:9" x14ac:dyDescent="0.25">
      <c r="D375">
        <v>2</v>
      </c>
      <c r="E375" t="s">
        <v>255</v>
      </c>
      <c r="F375" t="s">
        <v>458</v>
      </c>
      <c r="G375">
        <v>30</v>
      </c>
      <c r="H375">
        <v>15</v>
      </c>
      <c r="I375">
        <v>1953634</v>
      </c>
    </row>
    <row r="376" spans="4:9" x14ac:dyDescent="0.25">
      <c r="D376">
        <v>2</v>
      </c>
      <c r="E376" t="s">
        <v>20</v>
      </c>
      <c r="F376" t="s">
        <v>458</v>
      </c>
      <c r="G376">
        <v>30</v>
      </c>
      <c r="H376">
        <v>16</v>
      </c>
      <c r="I376">
        <v>1953634</v>
      </c>
    </row>
    <row r="377" spans="4:9" x14ac:dyDescent="0.25">
      <c r="D377">
        <v>2</v>
      </c>
      <c r="E377" t="s">
        <v>107</v>
      </c>
      <c r="F377" t="s">
        <v>990</v>
      </c>
      <c r="G377">
        <v>30</v>
      </c>
      <c r="H377">
        <v>176</v>
      </c>
      <c r="I377">
        <v>1953840</v>
      </c>
    </row>
    <row r="378" spans="4:9" x14ac:dyDescent="0.25">
      <c r="D378">
        <v>2</v>
      </c>
      <c r="E378" t="s">
        <v>255</v>
      </c>
      <c r="F378" t="s">
        <v>993</v>
      </c>
      <c r="G378">
        <v>84</v>
      </c>
      <c r="H378">
        <v>264</v>
      </c>
      <c r="I378">
        <v>1954557</v>
      </c>
    </row>
    <row r="379" spans="4:9" x14ac:dyDescent="0.25">
      <c r="D379">
        <v>2</v>
      </c>
      <c r="E379" t="s">
        <v>43</v>
      </c>
      <c r="F379" t="s">
        <v>996</v>
      </c>
      <c r="G379">
        <v>30</v>
      </c>
      <c r="H379">
        <v>239</v>
      </c>
      <c r="I379">
        <v>1955783</v>
      </c>
    </row>
    <row r="380" spans="4:9" x14ac:dyDescent="0.25">
      <c r="D380">
        <v>2</v>
      </c>
      <c r="E380" t="s">
        <v>35</v>
      </c>
      <c r="F380" t="s">
        <v>999</v>
      </c>
      <c r="G380">
        <v>186</v>
      </c>
      <c r="H380">
        <v>286</v>
      </c>
      <c r="I380">
        <v>1956372</v>
      </c>
    </row>
    <row r="381" spans="4:9" x14ac:dyDescent="0.25">
      <c r="D381">
        <v>2</v>
      </c>
      <c r="E381" t="s">
        <v>107</v>
      </c>
      <c r="F381" t="s">
        <v>1002</v>
      </c>
      <c r="G381">
        <v>77</v>
      </c>
      <c r="H381">
        <v>265</v>
      </c>
      <c r="I381">
        <v>1956469</v>
      </c>
    </row>
    <row r="382" spans="4:9" x14ac:dyDescent="0.25">
      <c r="D382">
        <v>2</v>
      </c>
      <c r="E382" t="s">
        <v>50</v>
      </c>
      <c r="F382" t="s">
        <v>1005</v>
      </c>
      <c r="G382">
        <v>109</v>
      </c>
      <c r="H382">
        <v>314</v>
      </c>
      <c r="I382">
        <v>1958652</v>
      </c>
    </row>
    <row r="383" spans="4:9" x14ac:dyDescent="0.25">
      <c r="D383">
        <v>2</v>
      </c>
      <c r="E383" t="s">
        <v>54</v>
      </c>
      <c r="F383" t="s">
        <v>1008</v>
      </c>
      <c r="G383">
        <v>61</v>
      </c>
      <c r="H383">
        <v>319</v>
      </c>
      <c r="I383">
        <v>1960228</v>
      </c>
    </row>
    <row r="384" spans="4:9" x14ac:dyDescent="0.25">
      <c r="D384">
        <v>2</v>
      </c>
      <c r="E384" t="s">
        <v>255</v>
      </c>
      <c r="F384" t="s">
        <v>476</v>
      </c>
      <c r="G384">
        <v>172</v>
      </c>
      <c r="H384">
        <v>249</v>
      </c>
      <c r="I384">
        <v>1962589</v>
      </c>
    </row>
    <row r="385" spans="4:9" x14ac:dyDescent="0.25">
      <c r="D385">
        <v>2</v>
      </c>
      <c r="E385" t="s">
        <v>16</v>
      </c>
      <c r="F385" t="s">
        <v>1011</v>
      </c>
      <c r="G385">
        <v>110</v>
      </c>
      <c r="H385">
        <v>27</v>
      </c>
      <c r="I385">
        <v>1963077</v>
      </c>
    </row>
    <row r="386" spans="4:9" x14ac:dyDescent="0.25">
      <c r="D386">
        <v>2</v>
      </c>
      <c r="E386" t="s">
        <v>107</v>
      </c>
      <c r="F386" t="s">
        <v>1014</v>
      </c>
      <c r="G386">
        <v>108</v>
      </c>
      <c r="H386">
        <v>270</v>
      </c>
      <c r="I386">
        <v>1963635</v>
      </c>
    </row>
    <row r="387" spans="4:9" x14ac:dyDescent="0.25">
      <c r="D387">
        <v>2</v>
      </c>
      <c r="E387" t="s">
        <v>16</v>
      </c>
      <c r="F387" t="s">
        <v>1016</v>
      </c>
      <c r="G387">
        <v>157</v>
      </c>
      <c r="H387">
        <v>93</v>
      </c>
      <c r="I387">
        <v>1965679</v>
      </c>
    </row>
    <row r="388" spans="4:9" x14ac:dyDescent="0.25">
      <c r="D388">
        <v>2</v>
      </c>
      <c r="E388" t="s">
        <v>54</v>
      </c>
      <c r="F388" t="s">
        <v>1019</v>
      </c>
      <c r="G388">
        <v>37</v>
      </c>
      <c r="H388">
        <v>303</v>
      </c>
      <c r="I388">
        <v>1965815</v>
      </c>
    </row>
    <row r="389" spans="4:9" x14ac:dyDescent="0.25">
      <c r="D389">
        <v>2</v>
      </c>
      <c r="E389" t="s">
        <v>20</v>
      </c>
      <c r="F389" t="s">
        <v>1022</v>
      </c>
      <c r="G389">
        <v>37</v>
      </c>
      <c r="H389">
        <v>267</v>
      </c>
      <c r="I389">
        <v>1967069</v>
      </c>
    </row>
    <row r="390" spans="4:9" x14ac:dyDescent="0.25">
      <c r="D390">
        <v>2</v>
      </c>
      <c r="E390" t="s">
        <v>39</v>
      </c>
      <c r="F390" t="s">
        <v>1025</v>
      </c>
      <c r="G390">
        <v>147</v>
      </c>
      <c r="H390">
        <v>119</v>
      </c>
      <c r="I390">
        <v>1969165</v>
      </c>
    </row>
    <row r="391" spans="4:9" x14ac:dyDescent="0.25">
      <c r="D391">
        <v>2</v>
      </c>
      <c r="E391" t="s">
        <v>155</v>
      </c>
      <c r="F391" t="s">
        <v>1028</v>
      </c>
      <c r="G391">
        <v>147</v>
      </c>
      <c r="H391">
        <v>114</v>
      </c>
      <c r="I391">
        <v>1969181</v>
      </c>
    </row>
    <row r="392" spans="4:9" x14ac:dyDescent="0.25">
      <c r="D392">
        <v>2</v>
      </c>
      <c r="E392" t="s">
        <v>64</v>
      </c>
      <c r="F392" t="s">
        <v>1031</v>
      </c>
      <c r="G392">
        <v>211</v>
      </c>
      <c r="H392">
        <v>53</v>
      </c>
      <c r="I392">
        <v>1971686</v>
      </c>
    </row>
    <row r="393" spans="4:9" x14ac:dyDescent="0.25">
      <c r="D393">
        <v>2</v>
      </c>
      <c r="E393" t="s">
        <v>35</v>
      </c>
      <c r="F393" t="s">
        <v>1034</v>
      </c>
      <c r="G393">
        <v>15</v>
      </c>
      <c r="H393">
        <v>86</v>
      </c>
      <c r="I393">
        <v>1972343</v>
      </c>
    </row>
    <row r="394" spans="4:9" x14ac:dyDescent="0.25">
      <c r="D394">
        <v>2</v>
      </c>
      <c r="E394" t="s">
        <v>16</v>
      </c>
      <c r="F394" t="s">
        <v>1037</v>
      </c>
      <c r="G394">
        <v>37</v>
      </c>
      <c r="H394">
        <v>25</v>
      </c>
      <c r="I394">
        <v>1974048</v>
      </c>
    </row>
    <row r="395" spans="4:9" x14ac:dyDescent="0.25">
      <c r="D395">
        <v>2</v>
      </c>
      <c r="E395" t="s">
        <v>24</v>
      </c>
      <c r="F395" t="s">
        <v>1040</v>
      </c>
      <c r="G395">
        <v>191</v>
      </c>
      <c r="H395">
        <v>295</v>
      </c>
      <c r="I395">
        <v>1976489</v>
      </c>
    </row>
    <row r="396" spans="4:9" x14ac:dyDescent="0.25">
      <c r="D396">
        <v>2</v>
      </c>
      <c r="E396" t="s">
        <v>64</v>
      </c>
      <c r="F396" t="s">
        <v>1043</v>
      </c>
      <c r="G396">
        <v>191</v>
      </c>
      <c r="H396">
        <v>147</v>
      </c>
      <c r="I396">
        <v>1976553</v>
      </c>
    </row>
    <row r="397" spans="4:9" x14ac:dyDescent="0.25">
      <c r="D397">
        <v>2</v>
      </c>
      <c r="E397" t="s">
        <v>39</v>
      </c>
      <c r="F397" t="s">
        <v>1046</v>
      </c>
      <c r="G397">
        <v>77</v>
      </c>
      <c r="H397">
        <v>226</v>
      </c>
      <c r="I397">
        <v>1977402</v>
      </c>
    </row>
    <row r="398" spans="4:9" x14ac:dyDescent="0.25">
      <c r="D398">
        <v>2</v>
      </c>
      <c r="E398" t="s">
        <v>35</v>
      </c>
      <c r="F398" t="s">
        <v>1049</v>
      </c>
      <c r="G398">
        <v>77</v>
      </c>
      <c r="H398">
        <v>64</v>
      </c>
      <c r="I398">
        <v>1977926</v>
      </c>
    </row>
    <row r="399" spans="4:9" x14ac:dyDescent="0.25">
      <c r="D399">
        <v>2</v>
      </c>
      <c r="E399" t="s">
        <v>39</v>
      </c>
      <c r="F399" t="s">
        <v>1051</v>
      </c>
      <c r="G399">
        <v>106</v>
      </c>
      <c r="H399">
        <v>22</v>
      </c>
      <c r="I399">
        <v>1980161</v>
      </c>
    </row>
    <row r="400" spans="4:9" x14ac:dyDescent="0.25">
      <c r="D400">
        <v>2</v>
      </c>
      <c r="E400" t="s">
        <v>35</v>
      </c>
      <c r="F400" t="s">
        <v>1054</v>
      </c>
      <c r="G400">
        <v>182</v>
      </c>
      <c r="H400">
        <v>206</v>
      </c>
      <c r="I400">
        <v>1981549</v>
      </c>
    </row>
    <row r="401" spans="4:9" x14ac:dyDescent="0.25">
      <c r="D401">
        <v>3</v>
      </c>
      <c r="E401" t="s">
        <v>50</v>
      </c>
      <c r="F401" t="s">
        <v>1057</v>
      </c>
      <c r="G401">
        <v>10</v>
      </c>
      <c r="H401">
        <v>314</v>
      </c>
      <c r="I401">
        <v>1532873</v>
      </c>
    </row>
    <row r="402" spans="4:9" x14ac:dyDescent="0.25">
      <c r="D402">
        <v>3</v>
      </c>
      <c r="E402" t="s">
        <v>31</v>
      </c>
      <c r="F402" t="s">
        <v>1060</v>
      </c>
      <c r="G402">
        <v>48</v>
      </c>
      <c r="H402">
        <v>323</v>
      </c>
      <c r="I402">
        <v>1535513</v>
      </c>
    </row>
    <row r="403" spans="4:9" x14ac:dyDescent="0.25">
      <c r="D403">
        <v>3</v>
      </c>
      <c r="E403" t="s">
        <v>107</v>
      </c>
      <c r="F403" t="s">
        <v>1063</v>
      </c>
      <c r="G403">
        <v>104</v>
      </c>
      <c r="H403">
        <v>217</v>
      </c>
      <c r="I403">
        <v>1551387</v>
      </c>
    </row>
    <row r="404" spans="4:9" x14ac:dyDescent="0.25">
      <c r="D404">
        <v>3</v>
      </c>
      <c r="E404" t="s">
        <v>39</v>
      </c>
      <c r="F404" t="s">
        <v>9</v>
      </c>
      <c r="G404">
        <v>99</v>
      </c>
      <c r="H404">
        <v>262</v>
      </c>
      <c r="I404">
        <v>1539969</v>
      </c>
    </row>
    <row r="405" spans="4:9" x14ac:dyDescent="0.25">
      <c r="D405">
        <v>3</v>
      </c>
      <c r="E405" t="s">
        <v>54</v>
      </c>
      <c r="F405" t="s">
        <v>1066</v>
      </c>
      <c r="G405">
        <v>133</v>
      </c>
      <c r="H405">
        <v>138</v>
      </c>
      <c r="I405">
        <v>1535349</v>
      </c>
    </row>
    <row r="406" spans="4:9" x14ac:dyDescent="0.25">
      <c r="D406">
        <v>3</v>
      </c>
      <c r="E406" t="s">
        <v>24</v>
      </c>
      <c r="F406" t="s">
        <v>13</v>
      </c>
      <c r="G406">
        <v>171</v>
      </c>
      <c r="H406">
        <v>258</v>
      </c>
      <c r="I406">
        <v>1543549</v>
      </c>
    </row>
    <row r="407" spans="4:9" x14ac:dyDescent="0.25">
      <c r="D407">
        <v>3</v>
      </c>
      <c r="E407" t="s">
        <v>50</v>
      </c>
      <c r="F407" t="s">
        <v>1069</v>
      </c>
      <c r="G407">
        <v>98</v>
      </c>
      <c r="H407">
        <v>284</v>
      </c>
      <c r="I407">
        <v>1536064</v>
      </c>
    </row>
    <row r="408" spans="4:9" x14ac:dyDescent="0.25">
      <c r="D408">
        <v>3</v>
      </c>
      <c r="E408" t="s">
        <v>107</v>
      </c>
      <c r="F408" t="s">
        <v>1072</v>
      </c>
      <c r="G408">
        <v>95</v>
      </c>
      <c r="H408">
        <v>223</v>
      </c>
      <c r="I408">
        <v>1538159</v>
      </c>
    </row>
    <row r="409" spans="4:9" x14ac:dyDescent="0.25">
      <c r="D409">
        <v>3</v>
      </c>
      <c r="E409" t="s">
        <v>35</v>
      </c>
      <c r="F409" t="s">
        <v>1075</v>
      </c>
      <c r="G409">
        <v>179</v>
      </c>
      <c r="H409">
        <v>206</v>
      </c>
      <c r="I409">
        <v>1535852</v>
      </c>
    </row>
    <row r="410" spans="4:9" x14ac:dyDescent="0.25">
      <c r="D410">
        <v>3</v>
      </c>
      <c r="E410" t="s">
        <v>16</v>
      </c>
      <c r="F410" t="s">
        <v>1078</v>
      </c>
      <c r="G410">
        <v>167</v>
      </c>
      <c r="H410">
        <v>54</v>
      </c>
      <c r="I410">
        <v>1537183</v>
      </c>
    </row>
    <row r="411" spans="4:9" x14ac:dyDescent="0.25">
      <c r="D411">
        <v>3</v>
      </c>
      <c r="E411" t="s">
        <v>8</v>
      </c>
      <c r="F411" t="s">
        <v>1081</v>
      </c>
      <c r="G411">
        <v>114</v>
      </c>
      <c r="H411">
        <v>171</v>
      </c>
      <c r="I411">
        <v>1550167</v>
      </c>
    </row>
    <row r="412" spans="4:9" x14ac:dyDescent="0.25">
      <c r="D412">
        <v>3</v>
      </c>
      <c r="E412" t="s">
        <v>255</v>
      </c>
      <c r="F412" t="s">
        <v>1084</v>
      </c>
      <c r="G412">
        <v>95</v>
      </c>
      <c r="H412">
        <v>216</v>
      </c>
      <c r="I412">
        <v>1538084</v>
      </c>
    </row>
    <row r="413" spans="4:9" x14ac:dyDescent="0.25">
      <c r="D413">
        <v>3</v>
      </c>
      <c r="E413" t="s">
        <v>24</v>
      </c>
      <c r="F413" t="s">
        <v>1087</v>
      </c>
      <c r="G413">
        <v>72</v>
      </c>
      <c r="H413">
        <v>296</v>
      </c>
      <c r="I413">
        <v>1543967</v>
      </c>
    </row>
    <row r="414" spans="4:9" x14ac:dyDescent="0.25">
      <c r="D414">
        <v>3</v>
      </c>
      <c r="E414" t="s">
        <v>20</v>
      </c>
      <c r="F414" t="s">
        <v>1090</v>
      </c>
      <c r="G414">
        <v>72</v>
      </c>
      <c r="H414">
        <v>2</v>
      </c>
      <c r="I414">
        <v>1541265</v>
      </c>
    </row>
    <row r="415" spans="4:9" x14ac:dyDescent="0.25">
      <c r="D415">
        <v>3</v>
      </c>
      <c r="E415" t="s">
        <v>16</v>
      </c>
      <c r="F415" t="s">
        <v>1093</v>
      </c>
      <c r="G415">
        <v>31</v>
      </c>
      <c r="H415">
        <v>311</v>
      </c>
      <c r="I415">
        <v>1540334</v>
      </c>
    </row>
    <row r="416" spans="4:9" x14ac:dyDescent="0.25">
      <c r="D416">
        <v>3</v>
      </c>
      <c r="E416" t="s">
        <v>39</v>
      </c>
      <c r="F416" t="s">
        <v>1096</v>
      </c>
      <c r="G416">
        <v>80</v>
      </c>
      <c r="H416">
        <v>83</v>
      </c>
      <c r="I416">
        <v>1550184</v>
      </c>
    </row>
    <row r="417" spans="4:9" x14ac:dyDescent="0.25">
      <c r="D417">
        <v>3</v>
      </c>
      <c r="E417" t="s">
        <v>43</v>
      </c>
      <c r="F417" t="s">
        <v>1099</v>
      </c>
      <c r="G417">
        <v>171</v>
      </c>
      <c r="H417">
        <v>19</v>
      </c>
      <c r="I417">
        <v>1550170</v>
      </c>
    </row>
    <row r="418" spans="4:9" x14ac:dyDescent="0.25">
      <c r="D418">
        <v>3</v>
      </c>
      <c r="E418" t="s">
        <v>31</v>
      </c>
      <c r="F418" t="s">
        <v>1102</v>
      </c>
      <c r="G418">
        <v>98</v>
      </c>
      <c r="H418">
        <v>328</v>
      </c>
      <c r="I418">
        <v>1543095</v>
      </c>
    </row>
    <row r="419" spans="4:9" x14ac:dyDescent="0.25">
      <c r="D419">
        <v>3</v>
      </c>
      <c r="E419" t="s">
        <v>64</v>
      </c>
      <c r="F419" t="s">
        <v>1105</v>
      </c>
      <c r="G419">
        <v>77</v>
      </c>
      <c r="H419">
        <v>232</v>
      </c>
      <c r="I419">
        <v>1544123</v>
      </c>
    </row>
    <row r="420" spans="4:9" x14ac:dyDescent="0.25">
      <c r="D420">
        <v>3</v>
      </c>
      <c r="E420" t="s">
        <v>64</v>
      </c>
      <c r="F420" t="s">
        <v>1108</v>
      </c>
      <c r="G420">
        <v>98</v>
      </c>
      <c r="H420">
        <v>317</v>
      </c>
      <c r="I420">
        <v>1544882</v>
      </c>
    </row>
    <row r="421" spans="4:9" x14ac:dyDescent="0.25">
      <c r="D421">
        <v>3</v>
      </c>
      <c r="E421" t="s">
        <v>31</v>
      </c>
      <c r="F421" t="s">
        <v>1111</v>
      </c>
      <c r="G421">
        <v>77</v>
      </c>
      <c r="H421">
        <v>306</v>
      </c>
      <c r="I421">
        <v>1544179</v>
      </c>
    </row>
    <row r="422" spans="4:9" x14ac:dyDescent="0.25">
      <c r="D422">
        <v>3</v>
      </c>
      <c r="E422" t="s">
        <v>54</v>
      </c>
      <c r="F422" t="s">
        <v>1114</v>
      </c>
      <c r="G422">
        <v>212</v>
      </c>
      <c r="H422">
        <v>315</v>
      </c>
      <c r="I422">
        <v>1550116</v>
      </c>
    </row>
    <row r="423" spans="4:9" x14ac:dyDescent="0.25">
      <c r="D423">
        <v>3</v>
      </c>
      <c r="E423" t="s">
        <v>35</v>
      </c>
      <c r="F423" t="s">
        <v>1117</v>
      </c>
      <c r="G423">
        <v>131</v>
      </c>
      <c r="H423">
        <v>105</v>
      </c>
      <c r="I423">
        <v>1550295</v>
      </c>
    </row>
    <row r="424" spans="4:9" x14ac:dyDescent="0.25">
      <c r="D424">
        <v>3</v>
      </c>
      <c r="E424" t="s">
        <v>16</v>
      </c>
      <c r="F424" t="s">
        <v>1120</v>
      </c>
      <c r="G424">
        <v>44</v>
      </c>
      <c r="H424">
        <v>283</v>
      </c>
      <c r="I424">
        <v>1548401</v>
      </c>
    </row>
    <row r="425" spans="4:9" x14ac:dyDescent="0.25">
      <c r="D425">
        <v>3</v>
      </c>
      <c r="E425" t="s">
        <v>35</v>
      </c>
      <c r="F425" t="s">
        <v>1123</v>
      </c>
      <c r="G425">
        <v>104</v>
      </c>
      <c r="H425">
        <v>36</v>
      </c>
      <c r="I425">
        <v>1552375</v>
      </c>
    </row>
    <row r="426" spans="4:9" x14ac:dyDescent="0.25">
      <c r="D426">
        <v>3</v>
      </c>
      <c r="E426" t="s">
        <v>64</v>
      </c>
      <c r="F426" t="s">
        <v>1126</v>
      </c>
      <c r="G426">
        <v>104</v>
      </c>
      <c r="H426">
        <v>35</v>
      </c>
      <c r="I426">
        <v>1552378</v>
      </c>
    </row>
    <row r="427" spans="4:9" x14ac:dyDescent="0.25">
      <c r="D427">
        <v>3</v>
      </c>
      <c r="E427" t="s">
        <v>16</v>
      </c>
      <c r="F427" t="s">
        <v>1129</v>
      </c>
      <c r="G427">
        <v>104</v>
      </c>
      <c r="H427">
        <v>186</v>
      </c>
      <c r="I427">
        <v>1553031</v>
      </c>
    </row>
    <row r="428" spans="4:9" x14ac:dyDescent="0.25">
      <c r="D428">
        <v>3</v>
      </c>
      <c r="E428" t="s">
        <v>54</v>
      </c>
      <c r="F428" t="s">
        <v>1132</v>
      </c>
      <c r="G428">
        <v>33</v>
      </c>
      <c r="H428">
        <v>82</v>
      </c>
      <c r="I428">
        <v>1555185</v>
      </c>
    </row>
    <row r="429" spans="4:9" x14ac:dyDescent="0.25">
      <c r="D429">
        <v>3</v>
      </c>
      <c r="E429" t="s">
        <v>39</v>
      </c>
      <c r="F429" t="s">
        <v>1135</v>
      </c>
      <c r="G429">
        <v>54</v>
      </c>
      <c r="H429">
        <v>85</v>
      </c>
      <c r="I429">
        <v>1555548</v>
      </c>
    </row>
    <row r="430" spans="4:9" x14ac:dyDescent="0.25">
      <c r="D430">
        <v>3</v>
      </c>
      <c r="E430" t="s">
        <v>31</v>
      </c>
      <c r="F430" t="s">
        <v>1138</v>
      </c>
      <c r="G430">
        <v>4</v>
      </c>
      <c r="H430">
        <v>325</v>
      </c>
      <c r="I430">
        <v>1559387</v>
      </c>
    </row>
    <row r="431" spans="4:9" x14ac:dyDescent="0.25">
      <c r="D431">
        <v>3</v>
      </c>
      <c r="E431" t="s">
        <v>16</v>
      </c>
      <c r="F431" t="s">
        <v>1141</v>
      </c>
      <c r="G431">
        <v>14</v>
      </c>
      <c r="H431">
        <v>234</v>
      </c>
      <c r="I431">
        <v>1560673</v>
      </c>
    </row>
    <row r="432" spans="4:9" x14ac:dyDescent="0.25">
      <c r="D432">
        <v>3</v>
      </c>
      <c r="E432" t="s">
        <v>35</v>
      </c>
      <c r="F432" t="s">
        <v>1144</v>
      </c>
      <c r="G432">
        <v>14</v>
      </c>
      <c r="H432">
        <v>236</v>
      </c>
      <c r="I432">
        <v>1560677</v>
      </c>
    </row>
    <row r="433" spans="4:9" x14ac:dyDescent="0.25">
      <c r="D433">
        <v>3</v>
      </c>
      <c r="E433" t="s">
        <v>43</v>
      </c>
      <c r="F433" t="s">
        <v>1147</v>
      </c>
      <c r="G433">
        <v>104</v>
      </c>
      <c r="H433">
        <v>18</v>
      </c>
      <c r="I433">
        <v>1560762</v>
      </c>
    </row>
    <row r="434" spans="4:9" x14ac:dyDescent="0.25">
      <c r="D434">
        <v>3</v>
      </c>
      <c r="E434" t="s">
        <v>107</v>
      </c>
      <c r="F434" t="s">
        <v>1150</v>
      </c>
      <c r="G434">
        <v>131</v>
      </c>
      <c r="H434">
        <v>176</v>
      </c>
      <c r="I434">
        <v>1561138</v>
      </c>
    </row>
    <row r="435" spans="4:9" x14ac:dyDescent="0.25">
      <c r="D435">
        <v>3</v>
      </c>
      <c r="E435" t="s">
        <v>35</v>
      </c>
      <c r="F435" t="s">
        <v>1153</v>
      </c>
      <c r="G435">
        <v>216</v>
      </c>
      <c r="H435">
        <v>324</v>
      </c>
      <c r="I435">
        <v>1562157</v>
      </c>
    </row>
    <row r="436" spans="4:9" x14ac:dyDescent="0.25">
      <c r="D436">
        <v>3</v>
      </c>
      <c r="E436" t="s">
        <v>20</v>
      </c>
      <c r="F436" t="s">
        <v>1156</v>
      </c>
      <c r="G436">
        <v>104</v>
      </c>
      <c r="H436">
        <v>288</v>
      </c>
      <c r="I436">
        <v>1562400</v>
      </c>
    </row>
    <row r="437" spans="4:9" x14ac:dyDescent="0.25">
      <c r="D437">
        <v>3</v>
      </c>
      <c r="E437" t="s">
        <v>107</v>
      </c>
      <c r="F437" t="s">
        <v>1159</v>
      </c>
      <c r="G437">
        <v>62</v>
      </c>
      <c r="H437">
        <v>151</v>
      </c>
      <c r="I437">
        <v>1562788</v>
      </c>
    </row>
    <row r="438" spans="4:9" x14ac:dyDescent="0.25">
      <c r="D438">
        <v>3</v>
      </c>
      <c r="E438" t="s">
        <v>50</v>
      </c>
      <c r="F438" t="s">
        <v>1162</v>
      </c>
      <c r="G438">
        <v>164</v>
      </c>
      <c r="H438">
        <v>235</v>
      </c>
      <c r="I438">
        <v>1563321</v>
      </c>
    </row>
    <row r="439" spans="4:9" x14ac:dyDescent="0.25">
      <c r="D439">
        <v>3</v>
      </c>
      <c r="E439" t="s">
        <v>12</v>
      </c>
      <c r="F439" t="s">
        <v>1165</v>
      </c>
      <c r="G439">
        <v>131</v>
      </c>
      <c r="H439">
        <v>177</v>
      </c>
      <c r="I439">
        <v>1563437</v>
      </c>
    </row>
    <row r="440" spans="4:9" x14ac:dyDescent="0.25">
      <c r="D440">
        <v>3</v>
      </c>
      <c r="E440" t="s">
        <v>183</v>
      </c>
      <c r="F440" t="s">
        <v>1168</v>
      </c>
      <c r="G440">
        <v>66</v>
      </c>
      <c r="H440">
        <v>175</v>
      </c>
      <c r="I440">
        <v>1563544</v>
      </c>
    </row>
    <row r="441" spans="4:9" x14ac:dyDescent="0.25">
      <c r="D441">
        <v>3</v>
      </c>
      <c r="E441" t="s">
        <v>107</v>
      </c>
      <c r="F441" t="s">
        <v>1171</v>
      </c>
      <c r="G441">
        <v>194</v>
      </c>
      <c r="H441">
        <v>117</v>
      </c>
      <c r="I441">
        <v>1564023</v>
      </c>
    </row>
    <row r="442" spans="4:9" x14ac:dyDescent="0.25">
      <c r="D442">
        <v>3</v>
      </c>
      <c r="E442" t="s">
        <v>20</v>
      </c>
      <c r="F442" t="s">
        <v>1174</v>
      </c>
      <c r="G442">
        <v>106</v>
      </c>
      <c r="H442">
        <v>37</v>
      </c>
      <c r="I442">
        <v>1564189</v>
      </c>
    </row>
    <row r="443" spans="4:9" x14ac:dyDescent="0.25">
      <c r="D443">
        <v>3</v>
      </c>
      <c r="E443" t="s">
        <v>16</v>
      </c>
      <c r="F443" t="s">
        <v>1177</v>
      </c>
      <c r="G443">
        <v>54</v>
      </c>
      <c r="H443">
        <v>110</v>
      </c>
      <c r="I443">
        <v>1564506</v>
      </c>
    </row>
    <row r="444" spans="4:9" x14ac:dyDescent="0.25">
      <c r="D444">
        <v>3</v>
      </c>
      <c r="E444" t="s">
        <v>255</v>
      </c>
      <c r="F444" t="s">
        <v>1180</v>
      </c>
      <c r="G444">
        <v>216</v>
      </c>
      <c r="H444">
        <v>180</v>
      </c>
      <c r="I444">
        <v>1565754</v>
      </c>
    </row>
    <row r="445" spans="4:9" x14ac:dyDescent="0.25">
      <c r="D445">
        <v>3</v>
      </c>
      <c r="E445" t="s">
        <v>24</v>
      </c>
      <c r="F445" t="s">
        <v>1183</v>
      </c>
      <c r="G445">
        <v>14</v>
      </c>
      <c r="H445">
        <v>172</v>
      </c>
      <c r="I445">
        <v>1566421</v>
      </c>
    </row>
    <row r="446" spans="4:9" x14ac:dyDescent="0.25">
      <c r="D446">
        <v>3</v>
      </c>
      <c r="E446" t="s">
        <v>50</v>
      </c>
      <c r="F446" t="s">
        <v>1186</v>
      </c>
      <c r="G446">
        <v>111</v>
      </c>
      <c r="H446">
        <v>316</v>
      </c>
      <c r="I446">
        <v>1566601</v>
      </c>
    </row>
    <row r="447" spans="4:9" x14ac:dyDescent="0.25">
      <c r="D447">
        <v>3</v>
      </c>
      <c r="E447" t="s">
        <v>43</v>
      </c>
      <c r="F447" t="s">
        <v>1189</v>
      </c>
      <c r="G447">
        <v>129</v>
      </c>
      <c r="H447">
        <v>70</v>
      </c>
      <c r="I447">
        <v>1566617</v>
      </c>
    </row>
    <row r="448" spans="4:9" x14ac:dyDescent="0.25">
      <c r="D448">
        <v>3</v>
      </c>
      <c r="E448" t="s">
        <v>50</v>
      </c>
      <c r="F448" t="s">
        <v>1192</v>
      </c>
      <c r="G448">
        <v>111</v>
      </c>
      <c r="H448">
        <v>314</v>
      </c>
      <c r="I448">
        <v>1566627</v>
      </c>
    </row>
    <row r="449" spans="4:9" x14ac:dyDescent="0.25">
      <c r="D449">
        <v>3</v>
      </c>
      <c r="E449" t="s">
        <v>64</v>
      </c>
      <c r="F449" t="s">
        <v>1195</v>
      </c>
      <c r="G449">
        <v>111</v>
      </c>
      <c r="H449">
        <v>312</v>
      </c>
      <c r="I449">
        <v>1566631</v>
      </c>
    </row>
    <row r="450" spans="4:9" x14ac:dyDescent="0.25">
      <c r="D450">
        <v>3</v>
      </c>
      <c r="E450" t="s">
        <v>16</v>
      </c>
      <c r="F450" t="s">
        <v>1198</v>
      </c>
      <c r="G450">
        <v>168</v>
      </c>
      <c r="H450">
        <v>33</v>
      </c>
      <c r="I450">
        <v>1566681</v>
      </c>
    </row>
    <row r="451" spans="4:9" x14ac:dyDescent="0.25">
      <c r="D451">
        <v>3</v>
      </c>
      <c r="E451" t="s">
        <v>16</v>
      </c>
      <c r="F451" t="s">
        <v>1201</v>
      </c>
      <c r="G451">
        <v>208</v>
      </c>
      <c r="H451">
        <v>287</v>
      </c>
      <c r="I451">
        <v>1566738</v>
      </c>
    </row>
    <row r="452" spans="4:9" x14ac:dyDescent="0.25">
      <c r="D452">
        <v>3</v>
      </c>
      <c r="E452" t="s">
        <v>155</v>
      </c>
      <c r="F452" t="s">
        <v>1204</v>
      </c>
      <c r="G452">
        <v>216</v>
      </c>
      <c r="H452">
        <v>181</v>
      </c>
      <c r="I452">
        <v>1566931</v>
      </c>
    </row>
    <row r="453" spans="4:9" x14ac:dyDescent="0.25">
      <c r="D453">
        <v>3</v>
      </c>
      <c r="E453" t="s">
        <v>43</v>
      </c>
      <c r="F453" t="s">
        <v>1207</v>
      </c>
      <c r="G453">
        <v>72</v>
      </c>
      <c r="H453">
        <v>239</v>
      </c>
      <c r="I453">
        <v>1567359</v>
      </c>
    </row>
    <row r="454" spans="4:9" x14ac:dyDescent="0.25">
      <c r="D454">
        <v>3</v>
      </c>
      <c r="E454" t="s">
        <v>155</v>
      </c>
      <c r="F454" t="s">
        <v>1210</v>
      </c>
      <c r="G454">
        <v>201</v>
      </c>
      <c r="H454">
        <v>181</v>
      </c>
      <c r="I454">
        <v>1567512</v>
      </c>
    </row>
    <row r="455" spans="4:9" x14ac:dyDescent="0.25">
      <c r="D455">
        <v>3</v>
      </c>
      <c r="E455" t="s">
        <v>50</v>
      </c>
      <c r="F455" t="s">
        <v>1213</v>
      </c>
      <c r="G455">
        <v>208</v>
      </c>
      <c r="H455">
        <v>90</v>
      </c>
      <c r="I455">
        <v>1568204</v>
      </c>
    </row>
    <row r="456" spans="4:9" x14ac:dyDescent="0.25">
      <c r="D456">
        <v>3</v>
      </c>
      <c r="E456" t="s">
        <v>35</v>
      </c>
      <c r="F456" t="s">
        <v>1216</v>
      </c>
      <c r="G456">
        <v>104</v>
      </c>
      <c r="H456">
        <v>309</v>
      </c>
      <c r="I456">
        <v>1568724</v>
      </c>
    </row>
    <row r="457" spans="4:9" x14ac:dyDescent="0.25">
      <c r="D457">
        <v>3</v>
      </c>
      <c r="E457" t="s">
        <v>54</v>
      </c>
      <c r="F457" t="s">
        <v>1219</v>
      </c>
      <c r="G457">
        <v>205</v>
      </c>
      <c r="H457">
        <v>303</v>
      </c>
      <c r="I457">
        <v>1569563</v>
      </c>
    </row>
    <row r="458" spans="4:9" x14ac:dyDescent="0.25">
      <c r="D458">
        <v>3</v>
      </c>
      <c r="E458" t="s">
        <v>16</v>
      </c>
      <c r="F458" t="s">
        <v>1221</v>
      </c>
      <c r="G458">
        <v>3</v>
      </c>
      <c r="H458">
        <v>310</v>
      </c>
      <c r="I458">
        <v>1569832</v>
      </c>
    </row>
    <row r="459" spans="4:9" x14ac:dyDescent="0.25">
      <c r="D459">
        <v>3</v>
      </c>
      <c r="E459" t="s">
        <v>20</v>
      </c>
      <c r="F459" t="s">
        <v>1224</v>
      </c>
      <c r="G459">
        <v>205</v>
      </c>
      <c r="H459">
        <v>220</v>
      </c>
      <c r="I459">
        <v>1569852</v>
      </c>
    </row>
    <row r="460" spans="4:9" x14ac:dyDescent="0.25">
      <c r="D460">
        <v>3</v>
      </c>
      <c r="E460" t="s">
        <v>16</v>
      </c>
      <c r="F460" t="s">
        <v>1226</v>
      </c>
      <c r="G460">
        <v>93</v>
      </c>
      <c r="H460">
        <v>102</v>
      </c>
      <c r="I460">
        <v>1569972</v>
      </c>
    </row>
    <row r="461" spans="4:9" x14ac:dyDescent="0.25">
      <c r="D461">
        <v>3</v>
      </c>
      <c r="E461" t="s">
        <v>50</v>
      </c>
      <c r="F461" t="s">
        <v>1229</v>
      </c>
      <c r="G461">
        <v>53</v>
      </c>
      <c r="H461">
        <v>284</v>
      </c>
      <c r="I461">
        <v>1569986</v>
      </c>
    </row>
    <row r="462" spans="4:9" x14ac:dyDescent="0.25">
      <c r="D462">
        <v>3</v>
      </c>
      <c r="E462" t="s">
        <v>64</v>
      </c>
      <c r="F462" t="s">
        <v>1232</v>
      </c>
      <c r="G462">
        <v>208</v>
      </c>
      <c r="H462">
        <v>322</v>
      </c>
      <c r="I462">
        <v>1570415</v>
      </c>
    </row>
    <row r="463" spans="4:9" x14ac:dyDescent="0.25">
      <c r="D463">
        <v>3</v>
      </c>
      <c r="E463" t="s">
        <v>16</v>
      </c>
      <c r="F463" t="s">
        <v>1235</v>
      </c>
      <c r="G463">
        <v>208</v>
      </c>
      <c r="H463">
        <v>329</v>
      </c>
      <c r="I463">
        <v>1570546</v>
      </c>
    </row>
    <row r="464" spans="4:9" x14ac:dyDescent="0.25">
      <c r="D464">
        <v>3</v>
      </c>
      <c r="E464" t="s">
        <v>8</v>
      </c>
      <c r="F464" t="s">
        <v>1238</v>
      </c>
      <c r="G464">
        <v>201</v>
      </c>
      <c r="H464">
        <v>178</v>
      </c>
      <c r="I464">
        <v>1570561</v>
      </c>
    </row>
    <row r="465" spans="4:9" x14ac:dyDescent="0.25">
      <c r="D465">
        <v>3</v>
      </c>
      <c r="E465" t="s">
        <v>54</v>
      </c>
      <c r="F465" t="s">
        <v>1241</v>
      </c>
      <c r="G465">
        <v>54</v>
      </c>
      <c r="H465">
        <v>313</v>
      </c>
      <c r="I465">
        <v>1571498</v>
      </c>
    </row>
    <row r="466" spans="4:9" x14ac:dyDescent="0.25">
      <c r="D466">
        <v>3</v>
      </c>
      <c r="E466" t="s">
        <v>50</v>
      </c>
      <c r="F466" t="s">
        <v>1244</v>
      </c>
      <c r="G466">
        <v>54</v>
      </c>
      <c r="H466">
        <v>316</v>
      </c>
      <c r="I466">
        <v>1571504</v>
      </c>
    </row>
    <row r="467" spans="4:9" x14ac:dyDescent="0.25">
      <c r="D467">
        <v>3</v>
      </c>
      <c r="E467" t="s">
        <v>39</v>
      </c>
      <c r="F467" t="s">
        <v>1247</v>
      </c>
      <c r="G467">
        <v>212</v>
      </c>
      <c r="H467">
        <v>39</v>
      </c>
      <c r="I467">
        <v>1571563</v>
      </c>
    </row>
    <row r="468" spans="4:9" x14ac:dyDescent="0.25">
      <c r="D468">
        <v>3</v>
      </c>
      <c r="E468" t="s">
        <v>39</v>
      </c>
      <c r="F468" t="s">
        <v>1250</v>
      </c>
      <c r="G468">
        <v>212</v>
      </c>
      <c r="H468">
        <v>56</v>
      </c>
      <c r="I468">
        <v>1571577</v>
      </c>
    </row>
    <row r="469" spans="4:9" x14ac:dyDescent="0.25">
      <c r="D469">
        <v>3</v>
      </c>
      <c r="E469" t="s">
        <v>183</v>
      </c>
      <c r="F469" t="s">
        <v>1253</v>
      </c>
      <c r="G469">
        <v>194</v>
      </c>
      <c r="H469">
        <v>168</v>
      </c>
      <c r="I469">
        <v>1571911</v>
      </c>
    </row>
    <row r="470" spans="4:9" x14ac:dyDescent="0.25">
      <c r="D470">
        <v>3</v>
      </c>
      <c r="E470" t="s">
        <v>35</v>
      </c>
      <c r="F470" t="s">
        <v>1256</v>
      </c>
      <c r="G470">
        <v>164</v>
      </c>
      <c r="H470">
        <v>47</v>
      </c>
      <c r="I470">
        <v>1573098</v>
      </c>
    </row>
    <row r="471" spans="4:9" x14ac:dyDescent="0.25">
      <c r="D471">
        <v>3</v>
      </c>
      <c r="E471" t="s">
        <v>20</v>
      </c>
      <c r="F471" t="s">
        <v>1259</v>
      </c>
      <c r="G471">
        <v>85</v>
      </c>
      <c r="H471">
        <v>41</v>
      </c>
      <c r="I471">
        <v>1573388</v>
      </c>
    </row>
    <row r="472" spans="4:9" x14ac:dyDescent="0.25">
      <c r="D472">
        <v>3</v>
      </c>
      <c r="E472" t="s">
        <v>54</v>
      </c>
      <c r="F472" t="s">
        <v>1262</v>
      </c>
      <c r="G472">
        <v>85</v>
      </c>
      <c r="H472">
        <v>40</v>
      </c>
      <c r="I472">
        <v>1573418</v>
      </c>
    </row>
    <row r="473" spans="4:9" x14ac:dyDescent="0.25">
      <c r="D473">
        <v>3</v>
      </c>
      <c r="E473" t="s">
        <v>31</v>
      </c>
      <c r="F473" t="s">
        <v>1265</v>
      </c>
      <c r="G473">
        <v>113</v>
      </c>
      <c r="H473">
        <v>185</v>
      </c>
      <c r="I473">
        <v>1786902</v>
      </c>
    </row>
    <row r="474" spans="4:9" x14ac:dyDescent="0.25">
      <c r="D474">
        <v>3</v>
      </c>
      <c r="E474" t="s">
        <v>43</v>
      </c>
      <c r="F474" t="s">
        <v>1267</v>
      </c>
      <c r="G474">
        <v>205</v>
      </c>
      <c r="H474">
        <v>13</v>
      </c>
      <c r="I474">
        <v>1878037</v>
      </c>
    </row>
    <row r="475" spans="4:9" x14ac:dyDescent="0.25">
      <c r="D475">
        <v>3</v>
      </c>
      <c r="E475" t="s">
        <v>50</v>
      </c>
      <c r="F475" t="s">
        <v>1269</v>
      </c>
      <c r="G475">
        <v>151</v>
      </c>
      <c r="H475">
        <v>211</v>
      </c>
      <c r="I475">
        <v>1878602</v>
      </c>
    </row>
    <row r="476" spans="4:9" x14ac:dyDescent="0.25">
      <c r="D476">
        <v>3</v>
      </c>
      <c r="E476" t="s">
        <v>16</v>
      </c>
      <c r="F476" t="s">
        <v>1272</v>
      </c>
      <c r="G476">
        <v>151</v>
      </c>
      <c r="H476">
        <v>321</v>
      </c>
      <c r="I476">
        <v>1878635</v>
      </c>
    </row>
    <row r="477" spans="4:9" x14ac:dyDescent="0.25">
      <c r="D477">
        <v>3</v>
      </c>
      <c r="E477" t="s">
        <v>50</v>
      </c>
      <c r="F477" t="s">
        <v>1275</v>
      </c>
      <c r="G477">
        <v>72</v>
      </c>
      <c r="H477">
        <v>87</v>
      </c>
      <c r="I477">
        <v>1879120</v>
      </c>
    </row>
    <row r="478" spans="4:9" x14ac:dyDescent="0.25">
      <c r="D478">
        <v>3</v>
      </c>
      <c r="E478" t="s">
        <v>54</v>
      </c>
      <c r="F478" t="s">
        <v>1278</v>
      </c>
      <c r="G478">
        <v>57</v>
      </c>
      <c r="H478">
        <v>315</v>
      </c>
      <c r="I478">
        <v>1879518</v>
      </c>
    </row>
    <row r="479" spans="4:9" x14ac:dyDescent="0.25">
      <c r="D479">
        <v>3</v>
      </c>
      <c r="E479" t="s">
        <v>20</v>
      </c>
      <c r="F479" t="s">
        <v>1281</v>
      </c>
      <c r="G479">
        <v>205</v>
      </c>
      <c r="H479">
        <v>91</v>
      </c>
      <c r="I479">
        <v>1887970</v>
      </c>
    </row>
    <row r="480" spans="4:9" x14ac:dyDescent="0.25">
      <c r="D480">
        <v>3</v>
      </c>
      <c r="E480" t="s">
        <v>64</v>
      </c>
      <c r="F480" t="s">
        <v>1283</v>
      </c>
      <c r="G480">
        <v>205</v>
      </c>
      <c r="H480">
        <v>92</v>
      </c>
      <c r="I480">
        <v>1887975</v>
      </c>
    </row>
    <row r="481" spans="4:9" x14ac:dyDescent="0.25">
      <c r="D481">
        <v>3</v>
      </c>
      <c r="E481" t="s">
        <v>12</v>
      </c>
      <c r="F481" t="s">
        <v>1285</v>
      </c>
      <c r="G481">
        <v>53</v>
      </c>
      <c r="H481">
        <v>215</v>
      </c>
      <c r="I481">
        <v>1888047</v>
      </c>
    </row>
    <row r="482" spans="4:9" x14ac:dyDescent="0.25">
      <c r="D482">
        <v>3</v>
      </c>
      <c r="E482" t="s">
        <v>39</v>
      </c>
      <c r="F482" t="s">
        <v>1288</v>
      </c>
      <c r="G482">
        <v>72</v>
      </c>
      <c r="H482">
        <v>275</v>
      </c>
      <c r="I482">
        <v>1889177</v>
      </c>
    </row>
    <row r="483" spans="4:9" x14ac:dyDescent="0.25">
      <c r="D483">
        <v>3</v>
      </c>
      <c r="E483" t="s">
        <v>255</v>
      </c>
      <c r="F483" t="s">
        <v>1291</v>
      </c>
      <c r="G483">
        <v>42</v>
      </c>
      <c r="H483">
        <v>173</v>
      </c>
      <c r="I483">
        <v>1891067</v>
      </c>
    </row>
    <row r="484" spans="4:9" x14ac:dyDescent="0.25">
      <c r="D484">
        <v>3</v>
      </c>
      <c r="E484" t="s">
        <v>183</v>
      </c>
      <c r="F484" t="s">
        <v>1293</v>
      </c>
      <c r="G484">
        <v>72</v>
      </c>
      <c r="H484">
        <v>168</v>
      </c>
      <c r="I484">
        <v>1891280</v>
      </c>
    </row>
    <row r="485" spans="4:9" x14ac:dyDescent="0.25">
      <c r="D485">
        <v>3</v>
      </c>
      <c r="E485" t="s">
        <v>107</v>
      </c>
      <c r="F485" t="s">
        <v>1296</v>
      </c>
      <c r="G485">
        <v>72</v>
      </c>
      <c r="H485">
        <v>169</v>
      </c>
      <c r="I485">
        <v>1891283</v>
      </c>
    </row>
    <row r="486" spans="4:9" x14ac:dyDescent="0.25">
      <c r="D486">
        <v>3</v>
      </c>
      <c r="E486" t="s">
        <v>12</v>
      </c>
      <c r="F486" t="s">
        <v>1299</v>
      </c>
      <c r="G486">
        <v>72</v>
      </c>
      <c r="H486">
        <v>170</v>
      </c>
      <c r="I486">
        <v>1891286</v>
      </c>
    </row>
    <row r="487" spans="4:9" x14ac:dyDescent="0.25">
      <c r="D487">
        <v>3</v>
      </c>
      <c r="E487" t="s">
        <v>8</v>
      </c>
      <c r="F487" t="s">
        <v>1302</v>
      </c>
      <c r="G487">
        <v>72</v>
      </c>
      <c r="H487">
        <v>171</v>
      </c>
      <c r="I487">
        <v>1891289</v>
      </c>
    </row>
    <row r="488" spans="4:9" x14ac:dyDescent="0.25">
      <c r="D488">
        <v>3</v>
      </c>
      <c r="E488" t="s">
        <v>155</v>
      </c>
      <c r="F488" t="s">
        <v>1305</v>
      </c>
      <c r="G488">
        <v>72</v>
      </c>
      <c r="H488">
        <v>174</v>
      </c>
      <c r="I488">
        <v>1891300</v>
      </c>
    </row>
    <row r="489" spans="4:9" x14ac:dyDescent="0.25">
      <c r="D489">
        <v>3</v>
      </c>
      <c r="E489" t="s">
        <v>24</v>
      </c>
      <c r="F489" t="s">
        <v>1308</v>
      </c>
      <c r="G489">
        <v>72</v>
      </c>
      <c r="H489">
        <v>179</v>
      </c>
      <c r="I489">
        <v>1891318</v>
      </c>
    </row>
    <row r="490" spans="4:9" x14ac:dyDescent="0.25">
      <c r="D490">
        <v>3</v>
      </c>
      <c r="E490" t="s">
        <v>39</v>
      </c>
      <c r="F490" t="s">
        <v>1311</v>
      </c>
      <c r="G490">
        <v>113</v>
      </c>
      <c r="H490">
        <v>89</v>
      </c>
      <c r="I490">
        <v>1891890</v>
      </c>
    </row>
    <row r="491" spans="4:9" x14ac:dyDescent="0.25">
      <c r="D491">
        <v>3</v>
      </c>
      <c r="E491" t="s">
        <v>16</v>
      </c>
      <c r="F491" t="s">
        <v>1313</v>
      </c>
      <c r="G491">
        <v>56</v>
      </c>
      <c r="H491">
        <v>63</v>
      </c>
      <c r="I491">
        <v>1892137</v>
      </c>
    </row>
    <row r="492" spans="4:9" x14ac:dyDescent="0.25">
      <c r="D492">
        <v>3</v>
      </c>
      <c r="E492" t="s">
        <v>16</v>
      </c>
      <c r="F492" t="s">
        <v>1316</v>
      </c>
      <c r="G492">
        <v>57</v>
      </c>
      <c r="H492">
        <v>107</v>
      </c>
      <c r="I492">
        <v>1892423</v>
      </c>
    </row>
    <row r="493" spans="4:9" x14ac:dyDescent="0.25">
      <c r="D493">
        <v>3</v>
      </c>
      <c r="E493" t="s">
        <v>255</v>
      </c>
      <c r="F493" t="s">
        <v>1319</v>
      </c>
      <c r="G493">
        <v>102</v>
      </c>
      <c r="H493">
        <v>180</v>
      </c>
      <c r="I493">
        <v>1892957</v>
      </c>
    </row>
    <row r="494" spans="4:9" x14ac:dyDescent="0.25">
      <c r="D494">
        <v>3</v>
      </c>
      <c r="E494" t="s">
        <v>50</v>
      </c>
      <c r="F494" t="s">
        <v>1322</v>
      </c>
      <c r="G494">
        <v>72</v>
      </c>
      <c r="H494">
        <v>280</v>
      </c>
      <c r="I494">
        <v>1893274</v>
      </c>
    </row>
    <row r="495" spans="4:9" x14ac:dyDescent="0.25">
      <c r="D495">
        <v>3</v>
      </c>
      <c r="E495" t="s">
        <v>54</v>
      </c>
      <c r="F495" t="s">
        <v>1325</v>
      </c>
      <c r="G495">
        <v>63</v>
      </c>
      <c r="H495">
        <v>93</v>
      </c>
      <c r="I495">
        <v>1894537</v>
      </c>
    </row>
    <row r="496" spans="4:9" x14ac:dyDescent="0.25">
      <c r="D496">
        <v>3</v>
      </c>
      <c r="E496" t="s">
        <v>35</v>
      </c>
      <c r="F496" t="s">
        <v>1328</v>
      </c>
      <c r="G496">
        <v>20</v>
      </c>
      <c r="H496">
        <v>64</v>
      </c>
      <c r="I496">
        <v>1895596</v>
      </c>
    </row>
    <row r="497" spans="4:9" x14ac:dyDescent="0.25">
      <c r="D497">
        <v>3</v>
      </c>
      <c r="E497" t="s">
        <v>24</v>
      </c>
      <c r="F497" t="s">
        <v>1330</v>
      </c>
      <c r="G497">
        <v>72</v>
      </c>
      <c r="H497">
        <v>113</v>
      </c>
      <c r="I497">
        <v>1895685</v>
      </c>
    </row>
    <row r="498" spans="4:9" x14ac:dyDescent="0.25">
      <c r="D498">
        <v>3</v>
      </c>
      <c r="E498" t="s">
        <v>20</v>
      </c>
      <c r="F498" t="s">
        <v>1333</v>
      </c>
      <c r="G498">
        <v>72</v>
      </c>
      <c r="H498">
        <v>118</v>
      </c>
      <c r="I498">
        <v>1895694</v>
      </c>
    </row>
    <row r="499" spans="4:9" x14ac:dyDescent="0.25">
      <c r="D499">
        <v>3</v>
      </c>
      <c r="E499" t="s">
        <v>155</v>
      </c>
      <c r="F499" t="s">
        <v>1336</v>
      </c>
      <c r="G499">
        <v>72</v>
      </c>
      <c r="H499">
        <v>115</v>
      </c>
      <c r="I499">
        <v>1895700</v>
      </c>
    </row>
    <row r="500" spans="4:9" x14ac:dyDescent="0.25">
      <c r="D500">
        <v>3</v>
      </c>
      <c r="E500" t="s">
        <v>50</v>
      </c>
      <c r="F500" t="s">
        <v>1339</v>
      </c>
      <c r="G500">
        <v>82</v>
      </c>
      <c r="H500">
        <v>87</v>
      </c>
      <c r="I500">
        <v>1895903</v>
      </c>
    </row>
    <row r="501" spans="4:9" x14ac:dyDescent="0.25">
      <c r="D501">
        <v>3</v>
      </c>
      <c r="E501" t="s">
        <v>107</v>
      </c>
      <c r="F501" t="s">
        <v>1342</v>
      </c>
      <c r="G501">
        <v>77</v>
      </c>
      <c r="H501">
        <v>97</v>
      </c>
      <c r="I501">
        <v>1896045</v>
      </c>
    </row>
    <row r="502" spans="4:9" x14ac:dyDescent="0.25">
      <c r="D502">
        <v>3</v>
      </c>
      <c r="E502" t="s">
        <v>43</v>
      </c>
      <c r="F502" t="s">
        <v>1342</v>
      </c>
      <c r="G502">
        <v>77</v>
      </c>
      <c r="H502">
        <v>101</v>
      </c>
      <c r="I502">
        <v>1896045</v>
      </c>
    </row>
    <row r="503" spans="4:9" x14ac:dyDescent="0.25">
      <c r="D503">
        <v>3</v>
      </c>
      <c r="E503" t="s">
        <v>12</v>
      </c>
      <c r="F503" t="s">
        <v>1345</v>
      </c>
      <c r="G503">
        <v>108</v>
      </c>
      <c r="H503">
        <v>170</v>
      </c>
      <c r="I503">
        <v>1896733</v>
      </c>
    </row>
    <row r="504" spans="4:9" x14ac:dyDescent="0.25">
      <c r="D504">
        <v>3</v>
      </c>
      <c r="E504" t="s">
        <v>12</v>
      </c>
      <c r="F504" t="s">
        <v>1347</v>
      </c>
      <c r="G504">
        <v>108</v>
      </c>
      <c r="H504">
        <v>177</v>
      </c>
      <c r="I504">
        <v>1896740</v>
      </c>
    </row>
    <row r="505" spans="4:9" x14ac:dyDescent="0.25">
      <c r="D505">
        <v>3</v>
      </c>
      <c r="E505" t="s">
        <v>183</v>
      </c>
      <c r="F505" t="s">
        <v>1349</v>
      </c>
      <c r="G505">
        <v>108</v>
      </c>
      <c r="H505">
        <v>175</v>
      </c>
      <c r="I505">
        <v>1896752</v>
      </c>
    </row>
    <row r="506" spans="4:9" x14ac:dyDescent="0.25">
      <c r="D506">
        <v>3</v>
      </c>
      <c r="E506" t="s">
        <v>16</v>
      </c>
      <c r="F506" t="s">
        <v>1351</v>
      </c>
      <c r="G506">
        <v>54</v>
      </c>
      <c r="H506">
        <v>283</v>
      </c>
      <c r="I506">
        <v>1897088</v>
      </c>
    </row>
    <row r="507" spans="4:9" x14ac:dyDescent="0.25">
      <c r="D507">
        <v>3</v>
      </c>
      <c r="E507" t="s">
        <v>12</v>
      </c>
      <c r="F507" t="s">
        <v>1354</v>
      </c>
      <c r="G507">
        <v>212</v>
      </c>
      <c r="H507">
        <v>150</v>
      </c>
      <c r="I507">
        <v>1897644</v>
      </c>
    </row>
    <row r="508" spans="4:9" x14ac:dyDescent="0.25">
      <c r="D508">
        <v>3</v>
      </c>
      <c r="E508" t="s">
        <v>50</v>
      </c>
      <c r="F508" t="s">
        <v>1357</v>
      </c>
      <c r="G508">
        <v>200</v>
      </c>
      <c r="H508">
        <v>302</v>
      </c>
      <c r="I508">
        <v>1898024</v>
      </c>
    </row>
    <row r="509" spans="4:9" x14ac:dyDescent="0.25">
      <c r="D509">
        <v>3</v>
      </c>
      <c r="E509" t="s">
        <v>64</v>
      </c>
      <c r="F509" t="s">
        <v>1360</v>
      </c>
      <c r="G509">
        <v>200</v>
      </c>
      <c r="H509">
        <v>92</v>
      </c>
      <c r="I509">
        <v>1898283</v>
      </c>
    </row>
    <row r="510" spans="4:9" x14ac:dyDescent="0.25">
      <c r="D510">
        <v>3</v>
      </c>
      <c r="E510" t="s">
        <v>20</v>
      </c>
      <c r="F510" t="s">
        <v>1363</v>
      </c>
      <c r="G510">
        <v>93</v>
      </c>
      <c r="H510">
        <v>224</v>
      </c>
      <c r="I510">
        <v>1899493</v>
      </c>
    </row>
    <row r="511" spans="4:9" x14ac:dyDescent="0.25">
      <c r="D511">
        <v>3</v>
      </c>
      <c r="E511" t="s">
        <v>20</v>
      </c>
      <c r="F511" t="s">
        <v>1366</v>
      </c>
      <c r="G511">
        <v>77</v>
      </c>
      <c r="H511">
        <v>209</v>
      </c>
      <c r="I511">
        <v>1899748</v>
      </c>
    </row>
    <row r="512" spans="4:9" x14ac:dyDescent="0.25">
      <c r="D512">
        <v>3</v>
      </c>
      <c r="E512" t="s">
        <v>16</v>
      </c>
      <c r="F512" t="s">
        <v>1369</v>
      </c>
      <c r="G512">
        <v>77</v>
      </c>
      <c r="H512">
        <v>139</v>
      </c>
      <c r="I512">
        <v>1900857</v>
      </c>
    </row>
    <row r="513" spans="4:9" x14ac:dyDescent="0.25">
      <c r="D513">
        <v>3</v>
      </c>
      <c r="E513" t="s">
        <v>54</v>
      </c>
      <c r="F513" t="s">
        <v>1372</v>
      </c>
      <c r="G513">
        <v>106</v>
      </c>
      <c r="H513">
        <v>31</v>
      </c>
      <c r="I513">
        <v>1901251</v>
      </c>
    </row>
    <row r="514" spans="4:9" x14ac:dyDescent="0.25">
      <c r="D514">
        <v>3</v>
      </c>
      <c r="E514" t="s">
        <v>35</v>
      </c>
      <c r="F514" t="s">
        <v>1375</v>
      </c>
      <c r="G514">
        <v>42</v>
      </c>
      <c r="H514">
        <v>134</v>
      </c>
      <c r="I514">
        <v>1901539</v>
      </c>
    </row>
    <row r="515" spans="4:9" x14ac:dyDescent="0.25">
      <c r="D515">
        <v>3</v>
      </c>
      <c r="E515" t="s">
        <v>39</v>
      </c>
      <c r="F515" t="s">
        <v>1377</v>
      </c>
      <c r="G515">
        <v>113</v>
      </c>
      <c r="H515">
        <v>1</v>
      </c>
      <c r="I515">
        <v>1902144</v>
      </c>
    </row>
    <row r="516" spans="4:9" x14ac:dyDescent="0.25">
      <c r="D516">
        <v>3</v>
      </c>
      <c r="E516" t="s">
        <v>35</v>
      </c>
      <c r="F516" t="s">
        <v>1379</v>
      </c>
      <c r="G516">
        <v>93</v>
      </c>
      <c r="H516">
        <v>184</v>
      </c>
      <c r="I516">
        <v>1902450</v>
      </c>
    </row>
    <row r="517" spans="4:9" x14ac:dyDescent="0.25">
      <c r="D517">
        <v>3</v>
      </c>
      <c r="E517" t="s">
        <v>16</v>
      </c>
      <c r="F517" t="s">
        <v>1382</v>
      </c>
      <c r="G517">
        <v>111</v>
      </c>
      <c r="H517">
        <v>321</v>
      </c>
      <c r="I517">
        <v>1902786</v>
      </c>
    </row>
    <row r="518" spans="4:9" x14ac:dyDescent="0.25">
      <c r="D518">
        <v>3</v>
      </c>
      <c r="E518" t="s">
        <v>54</v>
      </c>
      <c r="F518" t="s">
        <v>1385</v>
      </c>
      <c r="G518">
        <v>33</v>
      </c>
      <c r="H518">
        <v>308</v>
      </c>
      <c r="I518">
        <v>1902787</v>
      </c>
    </row>
    <row r="519" spans="4:9" x14ac:dyDescent="0.25">
      <c r="D519">
        <v>3</v>
      </c>
      <c r="E519" t="s">
        <v>39</v>
      </c>
      <c r="F519" t="s">
        <v>1388</v>
      </c>
      <c r="G519">
        <v>20</v>
      </c>
      <c r="H519">
        <v>119</v>
      </c>
      <c r="I519">
        <v>1903120</v>
      </c>
    </row>
    <row r="520" spans="4:9" x14ac:dyDescent="0.25">
      <c r="D520">
        <v>3</v>
      </c>
      <c r="E520" t="s">
        <v>24</v>
      </c>
      <c r="F520" t="s">
        <v>1391</v>
      </c>
      <c r="G520">
        <v>20</v>
      </c>
      <c r="H520">
        <v>172</v>
      </c>
      <c r="I520">
        <v>1903248</v>
      </c>
    </row>
    <row r="521" spans="4:9" x14ac:dyDescent="0.25">
      <c r="D521">
        <v>3</v>
      </c>
      <c r="E521" t="s">
        <v>35</v>
      </c>
      <c r="F521" t="s">
        <v>1394</v>
      </c>
      <c r="G521">
        <v>20</v>
      </c>
      <c r="H521">
        <v>286</v>
      </c>
      <c r="I521">
        <v>1903284</v>
      </c>
    </row>
    <row r="522" spans="4:9" x14ac:dyDescent="0.25">
      <c r="D522">
        <v>3</v>
      </c>
      <c r="E522" t="s">
        <v>16</v>
      </c>
      <c r="F522" t="s">
        <v>1397</v>
      </c>
      <c r="G522">
        <v>113</v>
      </c>
      <c r="H522">
        <v>287</v>
      </c>
      <c r="I522">
        <v>1904039</v>
      </c>
    </row>
    <row r="523" spans="4:9" x14ac:dyDescent="0.25">
      <c r="D523">
        <v>3</v>
      </c>
      <c r="E523" t="s">
        <v>255</v>
      </c>
      <c r="F523" t="s">
        <v>1399</v>
      </c>
      <c r="G523">
        <v>66</v>
      </c>
      <c r="H523">
        <v>42</v>
      </c>
      <c r="I523">
        <v>1904165</v>
      </c>
    </row>
    <row r="524" spans="4:9" x14ac:dyDescent="0.25">
      <c r="D524">
        <v>3</v>
      </c>
      <c r="E524" t="s">
        <v>24</v>
      </c>
      <c r="F524" t="s">
        <v>1402</v>
      </c>
      <c r="G524">
        <v>77</v>
      </c>
      <c r="H524">
        <v>295</v>
      </c>
      <c r="I524">
        <v>1904244</v>
      </c>
    </row>
    <row r="525" spans="4:9" x14ac:dyDescent="0.25">
      <c r="D525">
        <v>3</v>
      </c>
      <c r="E525" t="s">
        <v>39</v>
      </c>
      <c r="F525" t="s">
        <v>1405</v>
      </c>
      <c r="G525">
        <v>77</v>
      </c>
      <c r="H525">
        <v>11</v>
      </c>
      <c r="I525">
        <v>1904740</v>
      </c>
    </row>
    <row r="526" spans="4:9" x14ac:dyDescent="0.25">
      <c r="D526">
        <v>3</v>
      </c>
      <c r="E526" t="s">
        <v>20</v>
      </c>
      <c r="F526" t="s">
        <v>1408</v>
      </c>
      <c r="G526">
        <v>77</v>
      </c>
      <c r="H526">
        <v>8</v>
      </c>
      <c r="I526">
        <v>1904741</v>
      </c>
    </row>
    <row r="527" spans="4:9" x14ac:dyDescent="0.25">
      <c r="D527">
        <v>3</v>
      </c>
      <c r="E527" t="s">
        <v>24</v>
      </c>
      <c r="F527" t="s">
        <v>1411</v>
      </c>
      <c r="G527">
        <v>82</v>
      </c>
      <c r="H527">
        <v>245</v>
      </c>
      <c r="I527">
        <v>1907171</v>
      </c>
    </row>
    <row r="528" spans="4:9" x14ac:dyDescent="0.25">
      <c r="D528">
        <v>3</v>
      </c>
      <c r="E528" t="s">
        <v>39</v>
      </c>
      <c r="F528" t="s">
        <v>1414</v>
      </c>
      <c r="G528">
        <v>60</v>
      </c>
      <c r="H528">
        <v>81</v>
      </c>
      <c r="I528">
        <v>1908817</v>
      </c>
    </row>
    <row r="529" spans="4:9" x14ac:dyDescent="0.25">
      <c r="D529">
        <v>3</v>
      </c>
      <c r="E529" t="s">
        <v>39</v>
      </c>
      <c r="F529" t="s">
        <v>1417</v>
      </c>
      <c r="G529">
        <v>201</v>
      </c>
      <c r="H529">
        <v>86</v>
      </c>
      <c r="I529">
        <v>1909011</v>
      </c>
    </row>
    <row r="530" spans="4:9" x14ac:dyDescent="0.25">
      <c r="D530">
        <v>3</v>
      </c>
      <c r="E530" t="s">
        <v>155</v>
      </c>
      <c r="F530" t="s">
        <v>1420</v>
      </c>
      <c r="G530">
        <v>72</v>
      </c>
      <c r="H530">
        <v>257</v>
      </c>
      <c r="I530">
        <v>1909292</v>
      </c>
    </row>
    <row r="531" spans="4:9" x14ac:dyDescent="0.25">
      <c r="D531">
        <v>3</v>
      </c>
      <c r="E531" t="s">
        <v>54</v>
      </c>
      <c r="F531" t="s">
        <v>1423</v>
      </c>
      <c r="G531">
        <v>42</v>
      </c>
      <c r="H531">
        <v>281</v>
      </c>
      <c r="I531">
        <v>1910367</v>
      </c>
    </row>
    <row r="532" spans="4:9" x14ac:dyDescent="0.25">
      <c r="D532">
        <v>3</v>
      </c>
      <c r="E532" t="s">
        <v>50</v>
      </c>
      <c r="F532" t="s">
        <v>1425</v>
      </c>
      <c r="G532">
        <v>110</v>
      </c>
      <c r="H532">
        <v>30</v>
      </c>
      <c r="I532">
        <v>1910445</v>
      </c>
    </row>
    <row r="533" spans="4:9" x14ac:dyDescent="0.25">
      <c r="D533">
        <v>3</v>
      </c>
      <c r="E533" t="s">
        <v>64</v>
      </c>
      <c r="F533" t="s">
        <v>1428</v>
      </c>
      <c r="G533">
        <v>110</v>
      </c>
      <c r="H533">
        <v>53</v>
      </c>
      <c r="I533">
        <v>1910453</v>
      </c>
    </row>
    <row r="534" spans="4:9" x14ac:dyDescent="0.25">
      <c r="D534">
        <v>3</v>
      </c>
      <c r="E534" t="s">
        <v>16</v>
      </c>
      <c r="F534" t="s">
        <v>1431</v>
      </c>
      <c r="G534">
        <v>110</v>
      </c>
      <c r="H534">
        <v>29</v>
      </c>
      <c r="I534">
        <v>1910555</v>
      </c>
    </row>
    <row r="535" spans="4:9" x14ac:dyDescent="0.25">
      <c r="D535">
        <v>3</v>
      </c>
      <c r="E535" t="s">
        <v>64</v>
      </c>
      <c r="F535" t="s">
        <v>1434</v>
      </c>
      <c r="G535">
        <v>77</v>
      </c>
      <c r="H535">
        <v>84</v>
      </c>
      <c r="I535">
        <v>1912009</v>
      </c>
    </row>
    <row r="536" spans="4:9" x14ac:dyDescent="0.25">
      <c r="D536">
        <v>3</v>
      </c>
      <c r="E536" t="s">
        <v>35</v>
      </c>
      <c r="F536" t="s">
        <v>1437</v>
      </c>
      <c r="G536">
        <v>77</v>
      </c>
      <c r="H536">
        <v>123</v>
      </c>
      <c r="I536">
        <v>1912515</v>
      </c>
    </row>
    <row r="537" spans="4:9" x14ac:dyDescent="0.25">
      <c r="D537">
        <v>3</v>
      </c>
      <c r="E537" t="s">
        <v>54</v>
      </c>
      <c r="F537" t="s">
        <v>1440</v>
      </c>
      <c r="G537">
        <v>77</v>
      </c>
      <c r="H537">
        <v>130</v>
      </c>
      <c r="I537">
        <v>1912522</v>
      </c>
    </row>
    <row r="538" spans="4:9" x14ac:dyDescent="0.25">
      <c r="D538">
        <v>3</v>
      </c>
      <c r="E538" t="s">
        <v>31</v>
      </c>
      <c r="F538" t="s">
        <v>1440</v>
      </c>
      <c r="G538">
        <v>77</v>
      </c>
      <c r="H538">
        <v>129</v>
      </c>
      <c r="I538">
        <v>1912522</v>
      </c>
    </row>
    <row r="539" spans="4:9" x14ac:dyDescent="0.25">
      <c r="D539">
        <v>3</v>
      </c>
      <c r="E539" t="s">
        <v>16</v>
      </c>
      <c r="F539" t="s">
        <v>1443</v>
      </c>
      <c r="G539">
        <v>42</v>
      </c>
      <c r="H539">
        <v>163</v>
      </c>
      <c r="I539">
        <v>1913218</v>
      </c>
    </row>
    <row r="540" spans="4:9" x14ac:dyDescent="0.25">
      <c r="D540">
        <v>3</v>
      </c>
      <c r="E540" t="s">
        <v>43</v>
      </c>
      <c r="F540" t="s">
        <v>1445</v>
      </c>
      <c r="G540">
        <v>82</v>
      </c>
      <c r="H540">
        <v>100</v>
      </c>
      <c r="I540">
        <v>1913780</v>
      </c>
    </row>
    <row r="541" spans="4:9" x14ac:dyDescent="0.25">
      <c r="D541">
        <v>3</v>
      </c>
      <c r="E541" t="s">
        <v>43</v>
      </c>
      <c r="F541" t="s">
        <v>1448</v>
      </c>
      <c r="G541">
        <v>42</v>
      </c>
      <c r="H541">
        <v>218</v>
      </c>
      <c r="I541">
        <v>1913919</v>
      </c>
    </row>
    <row r="542" spans="4:9" x14ac:dyDescent="0.25">
      <c r="D542">
        <v>3</v>
      </c>
      <c r="E542" t="s">
        <v>155</v>
      </c>
      <c r="F542" t="s">
        <v>1450</v>
      </c>
      <c r="G542">
        <v>42</v>
      </c>
      <c r="H542">
        <v>222</v>
      </c>
      <c r="I542">
        <v>1913972</v>
      </c>
    </row>
    <row r="543" spans="4:9" x14ac:dyDescent="0.25">
      <c r="D543">
        <v>3</v>
      </c>
      <c r="E543" t="s">
        <v>35</v>
      </c>
      <c r="F543" t="s">
        <v>1452</v>
      </c>
      <c r="G543">
        <v>57</v>
      </c>
      <c r="H543">
        <v>282</v>
      </c>
      <c r="I543">
        <v>1914832</v>
      </c>
    </row>
    <row r="544" spans="4:9" x14ac:dyDescent="0.25">
      <c r="D544">
        <v>3</v>
      </c>
      <c r="E544" t="s">
        <v>155</v>
      </c>
      <c r="F544" t="s">
        <v>1455</v>
      </c>
      <c r="G544">
        <v>42</v>
      </c>
      <c r="H544">
        <v>293</v>
      </c>
      <c r="I544">
        <v>1918789</v>
      </c>
    </row>
    <row r="545" spans="4:9" x14ac:dyDescent="0.25">
      <c r="D545">
        <v>3</v>
      </c>
      <c r="E545" t="s">
        <v>24</v>
      </c>
      <c r="F545" t="s">
        <v>1457</v>
      </c>
      <c r="G545">
        <v>42</v>
      </c>
      <c r="H545">
        <v>7</v>
      </c>
      <c r="I545">
        <v>1918860</v>
      </c>
    </row>
    <row r="546" spans="4:9" x14ac:dyDescent="0.25">
      <c r="D546">
        <v>3</v>
      </c>
      <c r="E546" t="s">
        <v>43</v>
      </c>
      <c r="F546" t="s">
        <v>843</v>
      </c>
      <c r="G546">
        <v>42</v>
      </c>
      <c r="H546">
        <v>13</v>
      </c>
      <c r="I546">
        <v>1918864</v>
      </c>
    </row>
    <row r="547" spans="4:9" x14ac:dyDescent="0.25">
      <c r="D547">
        <v>3</v>
      </c>
      <c r="E547" t="s">
        <v>35</v>
      </c>
      <c r="F547" t="s">
        <v>1459</v>
      </c>
      <c r="G547">
        <v>42</v>
      </c>
      <c r="H547">
        <v>60</v>
      </c>
      <c r="I547">
        <v>1919065</v>
      </c>
    </row>
    <row r="548" spans="4:9" x14ac:dyDescent="0.25">
      <c r="D548">
        <v>3</v>
      </c>
      <c r="E548" t="s">
        <v>64</v>
      </c>
      <c r="F548" t="s">
        <v>1461</v>
      </c>
      <c r="G548">
        <v>42</v>
      </c>
      <c r="H548">
        <v>62</v>
      </c>
      <c r="I548">
        <v>1919077</v>
      </c>
    </row>
    <row r="549" spans="4:9" x14ac:dyDescent="0.25">
      <c r="D549">
        <v>3</v>
      </c>
      <c r="E549" t="s">
        <v>43</v>
      </c>
      <c r="F549" t="s">
        <v>328</v>
      </c>
      <c r="G549">
        <v>108</v>
      </c>
      <c r="H549">
        <v>12</v>
      </c>
      <c r="I549">
        <v>1919480</v>
      </c>
    </row>
    <row r="550" spans="4:9" x14ac:dyDescent="0.25">
      <c r="D550">
        <v>3</v>
      </c>
      <c r="E550" t="s">
        <v>64</v>
      </c>
      <c r="F550" t="s">
        <v>1463</v>
      </c>
      <c r="G550">
        <v>42</v>
      </c>
      <c r="H550">
        <v>317</v>
      </c>
      <c r="I550">
        <v>1919983</v>
      </c>
    </row>
    <row r="551" spans="4:9" x14ac:dyDescent="0.25">
      <c r="D551">
        <v>3</v>
      </c>
      <c r="E551" t="s">
        <v>50</v>
      </c>
      <c r="F551" t="s">
        <v>1465</v>
      </c>
      <c r="G551">
        <v>42</v>
      </c>
      <c r="H551">
        <v>318</v>
      </c>
      <c r="I551">
        <v>1920000</v>
      </c>
    </row>
    <row r="552" spans="4:9" x14ac:dyDescent="0.25">
      <c r="D552">
        <v>3</v>
      </c>
      <c r="E552" t="s">
        <v>54</v>
      </c>
      <c r="F552" t="s">
        <v>1467</v>
      </c>
      <c r="G552">
        <v>42</v>
      </c>
      <c r="H552">
        <v>319</v>
      </c>
      <c r="I552">
        <v>1920006</v>
      </c>
    </row>
    <row r="553" spans="4:9" x14ac:dyDescent="0.25">
      <c r="D553">
        <v>3</v>
      </c>
      <c r="E553" t="s">
        <v>35</v>
      </c>
      <c r="F553" t="s">
        <v>1469</v>
      </c>
      <c r="G553">
        <v>42</v>
      </c>
      <c r="H553">
        <v>320</v>
      </c>
      <c r="I553">
        <v>1920010</v>
      </c>
    </row>
    <row r="554" spans="4:9" x14ac:dyDescent="0.25">
      <c r="D554">
        <v>3</v>
      </c>
      <c r="E554" t="s">
        <v>43</v>
      </c>
      <c r="F554" t="s">
        <v>1471</v>
      </c>
      <c r="G554">
        <v>53</v>
      </c>
      <c r="H554">
        <v>61</v>
      </c>
      <c r="I554">
        <v>1922205</v>
      </c>
    </row>
    <row r="555" spans="4:9" x14ac:dyDescent="0.25">
      <c r="D555">
        <v>3</v>
      </c>
      <c r="E555" t="s">
        <v>35</v>
      </c>
      <c r="F555" t="s">
        <v>1474</v>
      </c>
      <c r="G555">
        <v>104</v>
      </c>
      <c r="H555">
        <v>187</v>
      </c>
      <c r="I555">
        <v>1923694</v>
      </c>
    </row>
    <row r="556" spans="4:9" x14ac:dyDescent="0.25">
      <c r="D556">
        <v>3</v>
      </c>
      <c r="E556" t="s">
        <v>183</v>
      </c>
      <c r="F556" t="s">
        <v>1476</v>
      </c>
      <c r="G556">
        <v>104</v>
      </c>
      <c r="H556">
        <v>153</v>
      </c>
      <c r="I556">
        <v>1924595</v>
      </c>
    </row>
    <row r="557" spans="4:9" x14ac:dyDescent="0.25">
      <c r="D557">
        <v>3</v>
      </c>
      <c r="E557" t="s">
        <v>12</v>
      </c>
      <c r="F557" t="s">
        <v>1479</v>
      </c>
      <c r="G557">
        <v>91</v>
      </c>
      <c r="H557">
        <v>242</v>
      </c>
      <c r="I557">
        <v>1925125</v>
      </c>
    </row>
    <row r="558" spans="4:9" x14ac:dyDescent="0.25">
      <c r="D558">
        <v>3</v>
      </c>
      <c r="E558" t="s">
        <v>24</v>
      </c>
      <c r="F558" t="s">
        <v>1479</v>
      </c>
      <c r="G558">
        <v>91</v>
      </c>
      <c r="H558">
        <v>241</v>
      </c>
      <c r="I558">
        <v>1925125</v>
      </c>
    </row>
    <row r="559" spans="4:9" x14ac:dyDescent="0.25">
      <c r="D559">
        <v>3</v>
      </c>
      <c r="E559" t="s">
        <v>8</v>
      </c>
      <c r="F559" t="s">
        <v>877</v>
      </c>
      <c r="G559">
        <v>104</v>
      </c>
      <c r="H559">
        <v>261</v>
      </c>
      <c r="I559">
        <v>1925630</v>
      </c>
    </row>
    <row r="560" spans="4:9" x14ac:dyDescent="0.25">
      <c r="D560">
        <v>3</v>
      </c>
      <c r="E560" t="s">
        <v>54</v>
      </c>
      <c r="F560" t="s">
        <v>1481</v>
      </c>
      <c r="G560">
        <v>104</v>
      </c>
      <c r="H560">
        <v>183</v>
      </c>
      <c r="I560">
        <v>1925804</v>
      </c>
    </row>
    <row r="561" spans="4:9" x14ac:dyDescent="0.25">
      <c r="D561">
        <v>3</v>
      </c>
      <c r="E561" t="s">
        <v>43</v>
      </c>
      <c r="F561" t="s">
        <v>1484</v>
      </c>
      <c r="G561">
        <v>110</v>
      </c>
      <c r="H561">
        <v>48</v>
      </c>
      <c r="I561">
        <v>1928047</v>
      </c>
    </row>
    <row r="562" spans="4:9" x14ac:dyDescent="0.25">
      <c r="D562">
        <v>3</v>
      </c>
      <c r="E562" t="s">
        <v>155</v>
      </c>
      <c r="F562" t="s">
        <v>1487</v>
      </c>
      <c r="G562">
        <v>113</v>
      </c>
      <c r="H562">
        <v>174</v>
      </c>
      <c r="I562">
        <v>1928070</v>
      </c>
    </row>
    <row r="563" spans="4:9" x14ac:dyDescent="0.25">
      <c r="D563">
        <v>3</v>
      </c>
      <c r="E563" t="s">
        <v>8</v>
      </c>
      <c r="F563" t="s">
        <v>1489</v>
      </c>
      <c r="G563">
        <v>113</v>
      </c>
      <c r="H563">
        <v>178</v>
      </c>
      <c r="I563">
        <v>1928079</v>
      </c>
    </row>
    <row r="564" spans="4:9" x14ac:dyDescent="0.25">
      <c r="D564">
        <v>3</v>
      </c>
      <c r="E564" t="s">
        <v>35</v>
      </c>
      <c r="F564" t="s">
        <v>1491</v>
      </c>
      <c r="G564">
        <v>104</v>
      </c>
      <c r="H564">
        <v>282</v>
      </c>
      <c r="I564">
        <v>1929685</v>
      </c>
    </row>
    <row r="565" spans="4:9" x14ac:dyDescent="0.25">
      <c r="D565">
        <v>3</v>
      </c>
      <c r="E565" t="s">
        <v>20</v>
      </c>
      <c r="F565" t="s">
        <v>1494</v>
      </c>
      <c r="G565">
        <v>108</v>
      </c>
      <c r="H565">
        <v>276</v>
      </c>
      <c r="I565">
        <v>1931100</v>
      </c>
    </row>
    <row r="566" spans="4:9" x14ac:dyDescent="0.25">
      <c r="D566">
        <v>3</v>
      </c>
      <c r="E566" t="s">
        <v>64</v>
      </c>
      <c r="F566" t="s">
        <v>1497</v>
      </c>
      <c r="G566">
        <v>109</v>
      </c>
      <c r="H566">
        <v>88</v>
      </c>
      <c r="I566">
        <v>1931331</v>
      </c>
    </row>
    <row r="567" spans="4:9" x14ac:dyDescent="0.25">
      <c r="D567">
        <v>3</v>
      </c>
      <c r="E567" t="s">
        <v>35</v>
      </c>
      <c r="F567" t="s">
        <v>1500</v>
      </c>
      <c r="G567">
        <v>95</v>
      </c>
      <c r="H567">
        <v>324</v>
      </c>
      <c r="I567">
        <v>1931496</v>
      </c>
    </row>
    <row r="568" spans="4:9" x14ac:dyDescent="0.25">
      <c r="D568">
        <v>3</v>
      </c>
      <c r="E568" t="s">
        <v>155</v>
      </c>
      <c r="F568" t="s">
        <v>1503</v>
      </c>
      <c r="G568">
        <v>164</v>
      </c>
      <c r="H568">
        <v>289</v>
      </c>
      <c r="I568">
        <v>1931815</v>
      </c>
    </row>
    <row r="569" spans="4:9" x14ac:dyDescent="0.25">
      <c r="D569">
        <v>3</v>
      </c>
      <c r="E569" t="s">
        <v>31</v>
      </c>
      <c r="F569" t="s">
        <v>1506</v>
      </c>
      <c r="G569">
        <v>110</v>
      </c>
      <c r="H569">
        <v>52</v>
      </c>
      <c r="I569">
        <v>1932851</v>
      </c>
    </row>
    <row r="570" spans="4:9" x14ac:dyDescent="0.25">
      <c r="D570">
        <v>3</v>
      </c>
      <c r="E570" t="s">
        <v>39</v>
      </c>
      <c r="F570" t="s">
        <v>1509</v>
      </c>
      <c r="G570">
        <v>66</v>
      </c>
      <c r="H570">
        <v>86</v>
      </c>
      <c r="I570">
        <v>1934790</v>
      </c>
    </row>
    <row r="571" spans="4:9" x14ac:dyDescent="0.25">
      <c r="D571">
        <v>3</v>
      </c>
      <c r="E571" t="s">
        <v>107</v>
      </c>
      <c r="F571" t="s">
        <v>1512</v>
      </c>
      <c r="G571">
        <v>109</v>
      </c>
      <c r="H571">
        <v>176</v>
      </c>
      <c r="I571">
        <v>1935410</v>
      </c>
    </row>
    <row r="572" spans="4:9" x14ac:dyDescent="0.25">
      <c r="D572">
        <v>3</v>
      </c>
      <c r="E572" t="s">
        <v>50</v>
      </c>
      <c r="F572" t="s">
        <v>1515</v>
      </c>
      <c r="G572">
        <v>223</v>
      </c>
      <c r="H572">
        <v>24</v>
      </c>
      <c r="I572">
        <v>1937531</v>
      </c>
    </row>
    <row r="573" spans="4:9" x14ac:dyDescent="0.25">
      <c r="D573">
        <v>3</v>
      </c>
      <c r="E573" t="s">
        <v>64</v>
      </c>
      <c r="F573" t="s">
        <v>1518</v>
      </c>
      <c r="G573">
        <v>108</v>
      </c>
      <c r="H573">
        <v>322</v>
      </c>
      <c r="I573">
        <v>1939709</v>
      </c>
    </row>
    <row r="574" spans="4:9" x14ac:dyDescent="0.25">
      <c r="D574">
        <v>3</v>
      </c>
      <c r="E574" t="s">
        <v>50</v>
      </c>
      <c r="F574" t="s">
        <v>1520</v>
      </c>
      <c r="G574">
        <v>108</v>
      </c>
      <c r="H574">
        <v>318</v>
      </c>
      <c r="I574">
        <v>1939712</v>
      </c>
    </row>
    <row r="575" spans="4:9" x14ac:dyDescent="0.25">
      <c r="D575">
        <v>3</v>
      </c>
      <c r="E575" t="s">
        <v>39</v>
      </c>
      <c r="F575" t="s">
        <v>1522</v>
      </c>
      <c r="G575">
        <v>13</v>
      </c>
      <c r="H575">
        <v>56</v>
      </c>
      <c r="I575">
        <v>1939763</v>
      </c>
    </row>
    <row r="576" spans="4:9" x14ac:dyDescent="0.25">
      <c r="D576">
        <v>3</v>
      </c>
      <c r="E576" t="s">
        <v>255</v>
      </c>
      <c r="F576" t="s">
        <v>1525</v>
      </c>
      <c r="G576">
        <v>13</v>
      </c>
      <c r="H576">
        <v>65</v>
      </c>
      <c r="I576">
        <v>1939791</v>
      </c>
    </row>
    <row r="577" spans="4:9" x14ac:dyDescent="0.25">
      <c r="D577">
        <v>3</v>
      </c>
      <c r="E577" t="s">
        <v>50</v>
      </c>
      <c r="F577" t="s">
        <v>1528</v>
      </c>
      <c r="G577">
        <v>13</v>
      </c>
      <c r="H577">
        <v>38</v>
      </c>
      <c r="I577">
        <v>1939824</v>
      </c>
    </row>
    <row r="578" spans="4:9" x14ac:dyDescent="0.25">
      <c r="D578">
        <v>3</v>
      </c>
      <c r="E578" t="s">
        <v>24</v>
      </c>
      <c r="F578" t="s">
        <v>1531</v>
      </c>
      <c r="G578">
        <v>13</v>
      </c>
      <c r="H578">
        <v>112</v>
      </c>
      <c r="I578">
        <v>1940118</v>
      </c>
    </row>
    <row r="579" spans="4:9" x14ac:dyDescent="0.25">
      <c r="D579">
        <v>3</v>
      </c>
      <c r="E579" t="s">
        <v>54</v>
      </c>
      <c r="F579" t="s">
        <v>1534</v>
      </c>
      <c r="G579">
        <v>13</v>
      </c>
      <c r="H579">
        <v>93</v>
      </c>
      <c r="I579">
        <v>1940134</v>
      </c>
    </row>
    <row r="580" spans="4:9" x14ac:dyDescent="0.25">
      <c r="D580">
        <v>3</v>
      </c>
      <c r="E580" t="s">
        <v>54</v>
      </c>
      <c r="F580" t="s">
        <v>1537</v>
      </c>
      <c r="G580">
        <v>13</v>
      </c>
      <c r="H580">
        <v>82</v>
      </c>
      <c r="I580">
        <v>1940136</v>
      </c>
    </row>
    <row r="581" spans="4:9" x14ac:dyDescent="0.25">
      <c r="D581">
        <v>3</v>
      </c>
      <c r="E581" t="s">
        <v>31</v>
      </c>
      <c r="F581" t="s">
        <v>1540</v>
      </c>
      <c r="G581">
        <v>13</v>
      </c>
      <c r="H581">
        <v>124</v>
      </c>
      <c r="I581">
        <v>1940262</v>
      </c>
    </row>
    <row r="582" spans="4:9" x14ac:dyDescent="0.25">
      <c r="D582">
        <v>3</v>
      </c>
      <c r="E582" t="s">
        <v>35</v>
      </c>
      <c r="F582" t="s">
        <v>1543</v>
      </c>
      <c r="G582">
        <v>61</v>
      </c>
      <c r="H582">
        <v>304</v>
      </c>
      <c r="I582">
        <v>1940300</v>
      </c>
    </row>
    <row r="583" spans="4:9" x14ac:dyDescent="0.25">
      <c r="D583">
        <v>3</v>
      </c>
      <c r="E583" t="s">
        <v>16</v>
      </c>
      <c r="F583" t="s">
        <v>1546</v>
      </c>
      <c r="G583">
        <v>61</v>
      </c>
      <c r="H583">
        <v>305</v>
      </c>
      <c r="I583">
        <v>1940308</v>
      </c>
    </row>
    <row r="584" spans="4:9" x14ac:dyDescent="0.25">
      <c r="D584">
        <v>3</v>
      </c>
      <c r="E584" t="s">
        <v>20</v>
      </c>
      <c r="F584" t="s">
        <v>1549</v>
      </c>
      <c r="G584">
        <v>125</v>
      </c>
      <c r="H584">
        <v>195</v>
      </c>
      <c r="I584">
        <v>1941956</v>
      </c>
    </row>
    <row r="585" spans="4:9" x14ac:dyDescent="0.25">
      <c r="D585">
        <v>3</v>
      </c>
      <c r="E585" t="s">
        <v>39</v>
      </c>
      <c r="F585" t="s">
        <v>1552</v>
      </c>
      <c r="G585">
        <v>60</v>
      </c>
      <c r="H585">
        <v>85</v>
      </c>
      <c r="I585">
        <v>1943368</v>
      </c>
    </row>
    <row r="586" spans="4:9" x14ac:dyDescent="0.25">
      <c r="D586">
        <v>3</v>
      </c>
      <c r="E586" t="s">
        <v>255</v>
      </c>
      <c r="F586" t="s">
        <v>1555</v>
      </c>
      <c r="G586">
        <v>165</v>
      </c>
      <c r="H586">
        <v>173</v>
      </c>
      <c r="I586">
        <v>1943504</v>
      </c>
    </row>
    <row r="587" spans="4:9" x14ac:dyDescent="0.25">
      <c r="D587">
        <v>3</v>
      </c>
      <c r="E587" t="s">
        <v>12</v>
      </c>
      <c r="F587" t="s">
        <v>1558</v>
      </c>
      <c r="G587">
        <v>172</v>
      </c>
      <c r="H587">
        <v>116</v>
      </c>
      <c r="I587">
        <v>1943604</v>
      </c>
    </row>
    <row r="588" spans="4:9" x14ac:dyDescent="0.25">
      <c r="D588">
        <v>3</v>
      </c>
      <c r="E588" t="s">
        <v>50</v>
      </c>
      <c r="F588" t="s">
        <v>1561</v>
      </c>
      <c r="G588">
        <v>159</v>
      </c>
      <c r="H588">
        <v>207</v>
      </c>
      <c r="I588">
        <v>1944316</v>
      </c>
    </row>
    <row r="589" spans="4:9" x14ac:dyDescent="0.25">
      <c r="D589">
        <v>3</v>
      </c>
      <c r="E589" t="s">
        <v>31</v>
      </c>
      <c r="F589" t="s">
        <v>1564</v>
      </c>
      <c r="G589">
        <v>153</v>
      </c>
      <c r="H589">
        <v>132</v>
      </c>
      <c r="I589">
        <v>1945080</v>
      </c>
    </row>
    <row r="590" spans="4:9" x14ac:dyDescent="0.25">
      <c r="D590">
        <v>3</v>
      </c>
      <c r="E590" t="s">
        <v>107</v>
      </c>
      <c r="F590" t="s">
        <v>1567</v>
      </c>
      <c r="G590">
        <v>42</v>
      </c>
      <c r="H590">
        <v>250</v>
      </c>
      <c r="I590">
        <v>1945125</v>
      </c>
    </row>
    <row r="591" spans="4:9" x14ac:dyDescent="0.25">
      <c r="D591">
        <v>3</v>
      </c>
      <c r="E591" t="s">
        <v>255</v>
      </c>
      <c r="F591" t="s">
        <v>1567</v>
      </c>
      <c r="G591">
        <v>42</v>
      </c>
      <c r="H591">
        <v>251</v>
      </c>
      <c r="I591">
        <v>1945125</v>
      </c>
    </row>
    <row r="592" spans="4:9" x14ac:dyDescent="0.25">
      <c r="D592">
        <v>3</v>
      </c>
      <c r="E592" t="s">
        <v>39</v>
      </c>
      <c r="F592" t="s">
        <v>1567</v>
      </c>
      <c r="G592">
        <v>42</v>
      </c>
      <c r="H592">
        <v>240</v>
      </c>
      <c r="I592">
        <v>1945125</v>
      </c>
    </row>
    <row r="593" spans="4:9" x14ac:dyDescent="0.25">
      <c r="D593">
        <v>3</v>
      </c>
      <c r="E593" t="s">
        <v>155</v>
      </c>
      <c r="F593" t="s">
        <v>1569</v>
      </c>
      <c r="G593">
        <v>42</v>
      </c>
      <c r="H593">
        <v>269</v>
      </c>
      <c r="I593">
        <v>1945186</v>
      </c>
    </row>
    <row r="594" spans="4:9" x14ac:dyDescent="0.25">
      <c r="D594">
        <v>3</v>
      </c>
      <c r="E594" t="s">
        <v>183</v>
      </c>
      <c r="F594" t="s">
        <v>1571</v>
      </c>
      <c r="G594">
        <v>93</v>
      </c>
      <c r="H594">
        <v>148</v>
      </c>
      <c r="I594">
        <v>1946375</v>
      </c>
    </row>
    <row r="595" spans="4:9" x14ac:dyDescent="0.25">
      <c r="D595">
        <v>3</v>
      </c>
      <c r="E595" t="s">
        <v>16</v>
      </c>
      <c r="F595" t="s">
        <v>1574</v>
      </c>
      <c r="G595">
        <v>15</v>
      </c>
      <c r="H595">
        <v>329</v>
      </c>
      <c r="I595">
        <v>1947172</v>
      </c>
    </row>
    <row r="596" spans="4:9" x14ac:dyDescent="0.25">
      <c r="D596">
        <v>3</v>
      </c>
      <c r="E596" t="s">
        <v>50</v>
      </c>
      <c r="F596" t="s">
        <v>1577</v>
      </c>
      <c r="G596">
        <v>207</v>
      </c>
      <c r="H596">
        <v>280</v>
      </c>
      <c r="I596">
        <v>1947736</v>
      </c>
    </row>
    <row r="597" spans="4:9" x14ac:dyDescent="0.25">
      <c r="D597">
        <v>3</v>
      </c>
      <c r="E597" t="s">
        <v>20</v>
      </c>
      <c r="F597" t="s">
        <v>1580</v>
      </c>
      <c r="G597">
        <v>30</v>
      </c>
      <c r="H597">
        <v>91</v>
      </c>
      <c r="I597">
        <v>1952540</v>
      </c>
    </row>
    <row r="598" spans="4:9" x14ac:dyDescent="0.25">
      <c r="D598">
        <v>3</v>
      </c>
      <c r="E598" t="s">
        <v>107</v>
      </c>
      <c r="F598" t="s">
        <v>1583</v>
      </c>
      <c r="G598">
        <v>30</v>
      </c>
      <c r="H598">
        <v>169</v>
      </c>
      <c r="I598">
        <v>1953817</v>
      </c>
    </row>
    <row r="599" spans="4:9" x14ac:dyDescent="0.25">
      <c r="D599">
        <v>3</v>
      </c>
      <c r="E599" t="s">
        <v>255</v>
      </c>
      <c r="F599" t="s">
        <v>1586</v>
      </c>
      <c r="G599">
        <v>66</v>
      </c>
      <c r="H599">
        <v>96</v>
      </c>
      <c r="I599">
        <v>1953935</v>
      </c>
    </row>
    <row r="600" spans="4:9" x14ac:dyDescent="0.25">
      <c r="D600">
        <v>3</v>
      </c>
      <c r="E600" t="s">
        <v>50</v>
      </c>
      <c r="F600" t="s">
        <v>1589</v>
      </c>
      <c r="G600">
        <v>30</v>
      </c>
      <c r="H600">
        <v>233</v>
      </c>
      <c r="I600">
        <v>1955669</v>
      </c>
    </row>
    <row r="601" spans="4:9" x14ac:dyDescent="0.25">
      <c r="D601">
        <v>3</v>
      </c>
      <c r="E601" t="s">
        <v>107</v>
      </c>
      <c r="F601" t="s">
        <v>1592</v>
      </c>
      <c r="G601">
        <v>30</v>
      </c>
      <c r="H601">
        <v>230</v>
      </c>
      <c r="I601">
        <v>1955689</v>
      </c>
    </row>
    <row r="602" spans="4:9" x14ac:dyDescent="0.25">
      <c r="D602">
        <v>3</v>
      </c>
      <c r="E602" t="s">
        <v>43</v>
      </c>
      <c r="F602" t="s">
        <v>1595</v>
      </c>
      <c r="G602">
        <v>30</v>
      </c>
      <c r="H602">
        <v>238</v>
      </c>
      <c r="I602">
        <v>1955778</v>
      </c>
    </row>
    <row r="603" spans="4:9" x14ac:dyDescent="0.25">
      <c r="D603">
        <v>3</v>
      </c>
      <c r="E603" t="s">
        <v>54</v>
      </c>
      <c r="F603" t="s">
        <v>1598</v>
      </c>
      <c r="G603">
        <v>30</v>
      </c>
      <c r="H603">
        <v>281</v>
      </c>
      <c r="I603">
        <v>1955815</v>
      </c>
    </row>
    <row r="604" spans="4:9" x14ac:dyDescent="0.25">
      <c r="D604">
        <v>3</v>
      </c>
      <c r="E604" t="s">
        <v>16</v>
      </c>
      <c r="F604" t="s">
        <v>1601</v>
      </c>
      <c r="G604">
        <v>77</v>
      </c>
      <c r="H604">
        <v>49</v>
      </c>
      <c r="I604">
        <v>1956840</v>
      </c>
    </row>
    <row r="605" spans="4:9" x14ac:dyDescent="0.25">
      <c r="D605">
        <v>3</v>
      </c>
      <c r="E605" t="s">
        <v>8</v>
      </c>
      <c r="F605" t="s">
        <v>1604</v>
      </c>
      <c r="G605">
        <v>86</v>
      </c>
      <c r="H605">
        <v>219</v>
      </c>
      <c r="I605">
        <v>1958970</v>
      </c>
    </row>
    <row r="606" spans="4:9" x14ac:dyDescent="0.25">
      <c r="D606">
        <v>3</v>
      </c>
      <c r="E606" t="s">
        <v>12</v>
      </c>
      <c r="F606" t="s">
        <v>1607</v>
      </c>
      <c r="G606">
        <v>193</v>
      </c>
      <c r="H606">
        <v>98</v>
      </c>
      <c r="I606">
        <v>1961080</v>
      </c>
    </row>
    <row r="607" spans="4:9" x14ac:dyDescent="0.25">
      <c r="D607">
        <v>3</v>
      </c>
      <c r="E607" t="s">
        <v>43</v>
      </c>
      <c r="F607" t="s">
        <v>1610</v>
      </c>
      <c r="G607">
        <v>84</v>
      </c>
      <c r="H607">
        <v>34</v>
      </c>
      <c r="I607">
        <v>1961218</v>
      </c>
    </row>
    <row r="608" spans="4:9" x14ac:dyDescent="0.25">
      <c r="D608">
        <v>3</v>
      </c>
      <c r="E608" t="s">
        <v>39</v>
      </c>
      <c r="F608" t="s">
        <v>1613</v>
      </c>
      <c r="G608">
        <v>84</v>
      </c>
      <c r="H608">
        <v>10</v>
      </c>
      <c r="I608">
        <v>1961314</v>
      </c>
    </row>
    <row r="609" spans="4:9" x14ac:dyDescent="0.25">
      <c r="D609">
        <v>3</v>
      </c>
      <c r="E609" t="s">
        <v>24</v>
      </c>
      <c r="F609" t="s">
        <v>1616</v>
      </c>
      <c r="G609">
        <v>84</v>
      </c>
      <c r="H609">
        <v>179</v>
      </c>
      <c r="I609">
        <v>1961318</v>
      </c>
    </row>
    <row r="610" spans="4:9" x14ac:dyDescent="0.25">
      <c r="D610">
        <v>3</v>
      </c>
      <c r="E610" t="s">
        <v>39</v>
      </c>
      <c r="F610" t="s">
        <v>1619</v>
      </c>
      <c r="G610">
        <v>108</v>
      </c>
      <c r="H610">
        <v>162</v>
      </c>
      <c r="I610">
        <v>1961406</v>
      </c>
    </row>
    <row r="611" spans="4:9" x14ac:dyDescent="0.25">
      <c r="D611">
        <v>3</v>
      </c>
      <c r="E611" t="s">
        <v>16</v>
      </c>
      <c r="F611" t="s">
        <v>1621</v>
      </c>
      <c r="G611">
        <v>5</v>
      </c>
      <c r="H611">
        <v>25</v>
      </c>
      <c r="I611">
        <v>1963520</v>
      </c>
    </row>
    <row r="612" spans="4:9" x14ac:dyDescent="0.25">
      <c r="D612">
        <v>3</v>
      </c>
      <c r="E612" t="s">
        <v>35</v>
      </c>
      <c r="F612" t="s">
        <v>1624</v>
      </c>
      <c r="G612">
        <v>84</v>
      </c>
      <c r="H612">
        <v>327</v>
      </c>
      <c r="I612">
        <v>1963800</v>
      </c>
    </row>
    <row r="613" spans="4:9" x14ac:dyDescent="0.25">
      <c r="D613">
        <v>3</v>
      </c>
      <c r="E613" t="s">
        <v>54</v>
      </c>
      <c r="F613" t="s">
        <v>1627</v>
      </c>
      <c r="G613">
        <v>37</v>
      </c>
      <c r="H613">
        <v>285</v>
      </c>
      <c r="I613">
        <v>1966505</v>
      </c>
    </row>
    <row r="614" spans="4:9" x14ac:dyDescent="0.25">
      <c r="D614">
        <v>3</v>
      </c>
      <c r="E614" t="s">
        <v>24</v>
      </c>
      <c r="F614" t="s">
        <v>1630</v>
      </c>
      <c r="G614">
        <v>37</v>
      </c>
      <c r="H614">
        <v>268</v>
      </c>
      <c r="I614">
        <v>1967058</v>
      </c>
    </row>
    <row r="615" spans="4:9" x14ac:dyDescent="0.25">
      <c r="D615">
        <v>3</v>
      </c>
      <c r="E615" t="s">
        <v>20</v>
      </c>
      <c r="F615" t="s">
        <v>1630</v>
      </c>
      <c r="G615">
        <v>37</v>
      </c>
      <c r="H615">
        <v>267</v>
      </c>
      <c r="I615">
        <v>1967058</v>
      </c>
    </row>
    <row r="616" spans="4:9" x14ac:dyDescent="0.25">
      <c r="D616">
        <v>3</v>
      </c>
      <c r="E616" t="s">
        <v>155</v>
      </c>
      <c r="F616" t="s">
        <v>1633</v>
      </c>
      <c r="G616">
        <v>37</v>
      </c>
      <c r="H616">
        <v>247</v>
      </c>
      <c r="I616">
        <v>1967104</v>
      </c>
    </row>
    <row r="617" spans="4:9" x14ac:dyDescent="0.25">
      <c r="D617">
        <v>3</v>
      </c>
      <c r="E617" t="s">
        <v>24</v>
      </c>
      <c r="F617" t="s">
        <v>1636</v>
      </c>
      <c r="G617">
        <v>13</v>
      </c>
      <c r="H617">
        <v>225</v>
      </c>
      <c r="I617">
        <v>1967454</v>
      </c>
    </row>
    <row r="618" spans="4:9" x14ac:dyDescent="0.25">
      <c r="D618">
        <v>3</v>
      </c>
      <c r="E618" t="s">
        <v>54</v>
      </c>
      <c r="F618" t="s">
        <v>1639</v>
      </c>
      <c r="G618">
        <v>147</v>
      </c>
      <c r="H618">
        <v>210</v>
      </c>
      <c r="I618">
        <v>1970517</v>
      </c>
    </row>
    <row r="619" spans="4:9" x14ac:dyDescent="0.25">
      <c r="D619">
        <v>3</v>
      </c>
      <c r="E619" t="s">
        <v>12</v>
      </c>
      <c r="F619" t="s">
        <v>1642</v>
      </c>
      <c r="G619">
        <v>77</v>
      </c>
      <c r="H619">
        <v>143</v>
      </c>
      <c r="I619">
        <v>1970898</v>
      </c>
    </row>
    <row r="620" spans="4:9" x14ac:dyDescent="0.25">
      <c r="D620">
        <v>3</v>
      </c>
      <c r="E620" t="s">
        <v>39</v>
      </c>
      <c r="F620" t="s">
        <v>1645</v>
      </c>
      <c r="G620">
        <v>77</v>
      </c>
      <c r="H620">
        <v>145</v>
      </c>
      <c r="I620">
        <v>1970905</v>
      </c>
    </row>
    <row r="621" spans="4:9" x14ac:dyDescent="0.25">
      <c r="D621">
        <v>3</v>
      </c>
      <c r="E621" t="s">
        <v>54</v>
      </c>
      <c r="F621" t="s">
        <v>1648</v>
      </c>
      <c r="G621">
        <v>147</v>
      </c>
      <c r="H621">
        <v>55</v>
      </c>
      <c r="I621">
        <v>1972078</v>
      </c>
    </row>
    <row r="622" spans="4:9" x14ac:dyDescent="0.25">
      <c r="D622">
        <v>3</v>
      </c>
      <c r="E622" t="s">
        <v>43</v>
      </c>
      <c r="F622" t="s">
        <v>498</v>
      </c>
      <c r="G622">
        <v>147</v>
      </c>
      <c r="H622">
        <v>50</v>
      </c>
      <c r="I622">
        <v>1972105</v>
      </c>
    </row>
    <row r="623" spans="4:9" x14ac:dyDescent="0.25">
      <c r="D623">
        <v>3</v>
      </c>
      <c r="E623" t="s">
        <v>35</v>
      </c>
      <c r="F623" t="s">
        <v>498</v>
      </c>
      <c r="G623">
        <v>147</v>
      </c>
      <c r="H623">
        <v>51</v>
      </c>
      <c r="I623">
        <v>1972105</v>
      </c>
    </row>
    <row r="624" spans="4:9" x14ac:dyDescent="0.25">
      <c r="D624">
        <v>3</v>
      </c>
      <c r="E624" t="s">
        <v>39</v>
      </c>
      <c r="F624" t="s">
        <v>1651</v>
      </c>
      <c r="G624">
        <v>37</v>
      </c>
      <c r="H624">
        <v>83</v>
      </c>
      <c r="I624">
        <v>1972293</v>
      </c>
    </row>
    <row r="625" spans="4:9" x14ac:dyDescent="0.25">
      <c r="D625">
        <v>3</v>
      </c>
      <c r="E625" t="s">
        <v>255</v>
      </c>
      <c r="F625" t="s">
        <v>1654</v>
      </c>
      <c r="G625">
        <v>147</v>
      </c>
      <c r="H625">
        <v>249</v>
      </c>
      <c r="I625">
        <v>1972525</v>
      </c>
    </row>
    <row r="626" spans="4:9" x14ac:dyDescent="0.25">
      <c r="D626">
        <v>3</v>
      </c>
      <c r="E626" t="s">
        <v>24</v>
      </c>
      <c r="F626" t="s">
        <v>1657</v>
      </c>
      <c r="G626">
        <v>147</v>
      </c>
      <c r="H626">
        <v>266</v>
      </c>
      <c r="I626">
        <v>1972545</v>
      </c>
    </row>
    <row r="627" spans="4:9" x14ac:dyDescent="0.25">
      <c r="D627">
        <v>3</v>
      </c>
      <c r="E627" t="s">
        <v>155</v>
      </c>
      <c r="F627" t="s">
        <v>1660</v>
      </c>
      <c r="G627">
        <v>37</v>
      </c>
      <c r="H627">
        <v>294</v>
      </c>
      <c r="I627">
        <v>1973102</v>
      </c>
    </row>
    <row r="628" spans="4:9" x14ac:dyDescent="0.25">
      <c r="D628">
        <v>3</v>
      </c>
      <c r="E628" t="s">
        <v>107</v>
      </c>
      <c r="F628" t="s">
        <v>1663</v>
      </c>
      <c r="G628">
        <v>37</v>
      </c>
      <c r="H628">
        <v>149</v>
      </c>
      <c r="I628">
        <v>1973213</v>
      </c>
    </row>
    <row r="629" spans="4:9" x14ac:dyDescent="0.25">
      <c r="D629">
        <v>3</v>
      </c>
      <c r="E629" t="s">
        <v>50</v>
      </c>
      <c r="F629" t="s">
        <v>1666</v>
      </c>
      <c r="G629">
        <v>37</v>
      </c>
      <c r="H629">
        <v>57</v>
      </c>
      <c r="I629">
        <v>1974216</v>
      </c>
    </row>
    <row r="630" spans="4:9" x14ac:dyDescent="0.25">
      <c r="D630">
        <v>3</v>
      </c>
      <c r="E630" t="s">
        <v>155</v>
      </c>
      <c r="F630" t="s">
        <v>1669</v>
      </c>
      <c r="G630">
        <v>191</v>
      </c>
      <c r="H630">
        <v>114</v>
      </c>
      <c r="I630">
        <v>1976480</v>
      </c>
    </row>
    <row r="631" spans="4:9" x14ac:dyDescent="0.25">
      <c r="D631">
        <v>3</v>
      </c>
      <c r="E631" t="s">
        <v>12</v>
      </c>
      <c r="F631" t="s">
        <v>1672</v>
      </c>
      <c r="G631">
        <v>191</v>
      </c>
      <c r="H631">
        <v>221</v>
      </c>
      <c r="I631">
        <v>1976545</v>
      </c>
    </row>
    <row r="632" spans="4:9" x14ac:dyDescent="0.25">
      <c r="D632">
        <v>3</v>
      </c>
      <c r="E632" t="s">
        <v>255</v>
      </c>
      <c r="F632" t="s">
        <v>1675</v>
      </c>
      <c r="G632">
        <v>191</v>
      </c>
      <c r="H632">
        <v>264</v>
      </c>
      <c r="I632">
        <v>1977754</v>
      </c>
    </row>
    <row r="633" spans="4:9" x14ac:dyDescent="0.25">
      <c r="D633">
        <v>3</v>
      </c>
      <c r="E633" t="s">
        <v>64</v>
      </c>
      <c r="F633" t="s">
        <v>1678</v>
      </c>
      <c r="G633">
        <v>160</v>
      </c>
      <c r="H633">
        <v>88</v>
      </c>
      <c r="I633">
        <v>1979870</v>
      </c>
    </row>
    <row r="634" spans="4:9" x14ac:dyDescent="0.25">
      <c r="D634">
        <v>3</v>
      </c>
      <c r="E634" t="s">
        <v>50</v>
      </c>
      <c r="F634" t="s">
        <v>1681</v>
      </c>
      <c r="G634">
        <v>160</v>
      </c>
      <c r="H634">
        <v>90</v>
      </c>
      <c r="I634">
        <v>1979904</v>
      </c>
    </row>
    <row r="635" spans="4:9" x14ac:dyDescent="0.25">
      <c r="D635">
        <v>3</v>
      </c>
      <c r="E635" t="s">
        <v>64</v>
      </c>
      <c r="F635" t="s">
        <v>1684</v>
      </c>
      <c r="G635">
        <v>166</v>
      </c>
      <c r="H635">
        <v>135</v>
      </c>
      <c r="I635">
        <v>1980115</v>
      </c>
    </row>
    <row r="636" spans="4:9" x14ac:dyDescent="0.25">
      <c r="D636">
        <v>3</v>
      </c>
      <c r="E636" t="s">
        <v>39</v>
      </c>
      <c r="F636" t="s">
        <v>1686</v>
      </c>
      <c r="G636">
        <v>166</v>
      </c>
      <c r="H636">
        <v>89</v>
      </c>
      <c r="I636">
        <v>1980125</v>
      </c>
    </row>
    <row r="637" spans="4:9" x14ac:dyDescent="0.25">
      <c r="D637">
        <v>3</v>
      </c>
      <c r="E637" t="s">
        <v>54</v>
      </c>
      <c r="F637" t="s">
        <v>1688</v>
      </c>
      <c r="G637">
        <v>166</v>
      </c>
      <c r="H637">
        <v>319</v>
      </c>
      <c r="I637">
        <v>1980149</v>
      </c>
    </row>
    <row r="638" spans="4:9" x14ac:dyDescent="0.25">
      <c r="D638">
        <v>3</v>
      </c>
      <c r="E638" t="s">
        <v>64</v>
      </c>
      <c r="F638" t="s">
        <v>1690</v>
      </c>
      <c r="G638">
        <v>166</v>
      </c>
      <c r="H638">
        <v>312</v>
      </c>
      <c r="I638">
        <v>1980153</v>
      </c>
    </row>
    <row r="639" spans="4:9" x14ac:dyDescent="0.25">
      <c r="D639">
        <v>3</v>
      </c>
      <c r="E639" t="s">
        <v>54</v>
      </c>
      <c r="F639" t="s">
        <v>1692</v>
      </c>
      <c r="G639">
        <v>15</v>
      </c>
      <c r="H639">
        <v>313</v>
      </c>
      <c r="I639">
        <v>1981760</v>
      </c>
    </row>
    <row r="640" spans="4:9" x14ac:dyDescent="0.25">
      <c r="D640">
        <v>3</v>
      </c>
      <c r="E640" t="s">
        <v>31</v>
      </c>
      <c r="F640" t="s">
        <v>1695</v>
      </c>
      <c r="G640">
        <v>15</v>
      </c>
      <c r="H640">
        <v>328</v>
      </c>
      <c r="I640">
        <v>1981785</v>
      </c>
    </row>
    <row r="641" spans="4:9" x14ac:dyDescent="0.25">
      <c r="D641">
        <v>3</v>
      </c>
      <c r="E641" t="s">
        <v>54</v>
      </c>
      <c r="F641" t="s">
        <v>1698</v>
      </c>
      <c r="G641">
        <v>33</v>
      </c>
      <c r="H641">
        <v>285</v>
      </c>
      <c r="I641">
        <v>2493835</v>
      </c>
    </row>
    <row r="642" spans="4:9" x14ac:dyDescent="0.25">
      <c r="D642">
        <v>3</v>
      </c>
      <c r="E642" t="s">
        <v>16</v>
      </c>
      <c r="F642" t="s">
        <v>1701</v>
      </c>
      <c r="G642">
        <v>4</v>
      </c>
      <c r="H642">
        <v>326</v>
      </c>
      <c r="I642">
        <v>3429662</v>
      </c>
    </row>
    <row r="643" spans="4:9" x14ac:dyDescent="0.25">
      <c r="D643">
        <v>3</v>
      </c>
      <c r="E643" t="s">
        <v>183</v>
      </c>
      <c r="F643" t="s">
        <v>1704</v>
      </c>
      <c r="G643">
        <v>113</v>
      </c>
      <c r="H643">
        <v>260</v>
      </c>
      <c r="I643">
        <v>4654306</v>
      </c>
    </row>
    <row r="644" spans="4:9" x14ac:dyDescent="0.25">
      <c r="D644">
        <v>3</v>
      </c>
      <c r="E644" t="s">
        <v>50</v>
      </c>
      <c r="F644" t="s">
        <v>1706</v>
      </c>
      <c r="G644">
        <v>215</v>
      </c>
      <c r="H644">
        <v>307</v>
      </c>
      <c r="I644">
        <v>1917153</v>
      </c>
    </row>
    <row r="645" spans="4:9" x14ac:dyDescent="0.25">
      <c r="D645">
        <v>1</v>
      </c>
      <c r="E645" t="s">
        <v>35</v>
      </c>
      <c r="F645" t="s">
        <v>1709</v>
      </c>
      <c r="G645">
        <v>215</v>
      </c>
      <c r="H645">
        <v>304</v>
      </c>
      <c r="I645">
        <v>1917154</v>
      </c>
    </row>
    <row r="646" spans="4:9" x14ac:dyDescent="0.25">
      <c r="D646">
        <v>3</v>
      </c>
      <c r="E646" t="s">
        <v>35</v>
      </c>
      <c r="F646" t="s">
        <v>1712</v>
      </c>
      <c r="G646">
        <v>215</v>
      </c>
      <c r="H646">
        <v>286</v>
      </c>
      <c r="I646">
        <v>1930773</v>
      </c>
    </row>
    <row r="647" spans="4:9" x14ac:dyDescent="0.25">
      <c r="D647">
        <v>3</v>
      </c>
      <c r="E647" t="s">
        <v>8</v>
      </c>
      <c r="F647" t="s">
        <v>1715</v>
      </c>
      <c r="G647">
        <v>215</v>
      </c>
      <c r="H647">
        <v>246</v>
      </c>
      <c r="I647">
        <v>1935873</v>
      </c>
    </row>
    <row r="648" spans="4:9" x14ac:dyDescent="0.25">
      <c r="D648">
        <v>1</v>
      </c>
      <c r="E648" t="s">
        <v>255</v>
      </c>
      <c r="F648" t="s">
        <v>1718</v>
      </c>
      <c r="G648">
        <v>215</v>
      </c>
      <c r="H648">
        <v>249</v>
      </c>
      <c r="I648">
        <v>1935895</v>
      </c>
    </row>
    <row r="649" spans="4:9" x14ac:dyDescent="0.25">
      <c r="D649">
        <v>2</v>
      </c>
      <c r="E649" t="s">
        <v>20</v>
      </c>
      <c r="F649" t="s">
        <v>1718</v>
      </c>
      <c r="G649">
        <v>215</v>
      </c>
      <c r="H649">
        <v>252</v>
      </c>
      <c r="I649">
        <v>1935895</v>
      </c>
    </row>
    <row r="650" spans="4:9" x14ac:dyDescent="0.25">
      <c r="D650">
        <v>2</v>
      </c>
      <c r="E650" t="s">
        <v>107</v>
      </c>
      <c r="F650" t="s">
        <v>1721</v>
      </c>
      <c r="G650">
        <v>215</v>
      </c>
      <c r="H650">
        <v>265</v>
      </c>
      <c r="I650">
        <v>1935901</v>
      </c>
    </row>
    <row r="651" spans="4:9" x14ac:dyDescent="0.25">
      <c r="D651">
        <v>2</v>
      </c>
      <c r="E651" t="s">
        <v>8</v>
      </c>
      <c r="F651" t="s">
        <v>1724</v>
      </c>
      <c r="G651">
        <v>215</v>
      </c>
      <c r="H651">
        <v>261</v>
      </c>
      <c r="I651">
        <v>1935902</v>
      </c>
    </row>
    <row r="652" spans="4:9" x14ac:dyDescent="0.25">
      <c r="D652">
        <v>1</v>
      </c>
      <c r="E652" t="s">
        <v>39</v>
      </c>
      <c r="F652" t="s">
        <v>1724</v>
      </c>
      <c r="G652">
        <v>215</v>
      </c>
      <c r="H652">
        <v>262</v>
      </c>
      <c r="I652">
        <v>1935902</v>
      </c>
    </row>
    <row r="653" spans="4:9" x14ac:dyDescent="0.25">
      <c r="D653">
        <v>3</v>
      </c>
      <c r="E653" t="s">
        <v>107</v>
      </c>
      <c r="F653" t="s">
        <v>1727</v>
      </c>
      <c r="G653">
        <v>215</v>
      </c>
      <c r="H653">
        <v>270</v>
      </c>
      <c r="I653">
        <v>1935903</v>
      </c>
    </row>
    <row r="654" spans="4:9" x14ac:dyDescent="0.25">
      <c r="D654">
        <v>2</v>
      </c>
      <c r="E654" t="s">
        <v>12</v>
      </c>
      <c r="F654" t="s">
        <v>1730</v>
      </c>
      <c r="G654">
        <v>215</v>
      </c>
      <c r="H654">
        <v>253</v>
      </c>
      <c r="I654">
        <v>1935909</v>
      </c>
    </row>
    <row r="655" spans="4:9" x14ac:dyDescent="0.25">
      <c r="D655">
        <v>3</v>
      </c>
      <c r="E655" t="s">
        <v>12</v>
      </c>
      <c r="F655" t="s">
        <v>1733</v>
      </c>
      <c r="G655">
        <v>215</v>
      </c>
      <c r="H655">
        <v>259</v>
      </c>
      <c r="I655">
        <v>1935918</v>
      </c>
    </row>
    <row r="656" spans="4:9" x14ac:dyDescent="0.25">
      <c r="D656">
        <v>1</v>
      </c>
      <c r="E656" t="s">
        <v>107</v>
      </c>
      <c r="F656" t="s">
        <v>1736</v>
      </c>
      <c r="G656">
        <v>215</v>
      </c>
      <c r="H656">
        <v>250</v>
      </c>
      <c r="I656">
        <v>1935923</v>
      </c>
    </row>
    <row r="657" spans="4:9" x14ac:dyDescent="0.25">
      <c r="D657">
        <v>2</v>
      </c>
      <c r="E657" t="s">
        <v>24</v>
      </c>
      <c r="F657" t="s">
        <v>1736</v>
      </c>
      <c r="G657">
        <v>215</v>
      </c>
      <c r="H657">
        <v>241</v>
      </c>
      <c r="I657">
        <v>1935923</v>
      </c>
    </row>
    <row r="658" spans="4:9" x14ac:dyDescent="0.25">
      <c r="D658">
        <v>3</v>
      </c>
      <c r="E658" t="s">
        <v>183</v>
      </c>
      <c r="F658" t="s">
        <v>1739</v>
      </c>
      <c r="G658">
        <v>215</v>
      </c>
      <c r="H658">
        <v>243</v>
      </c>
      <c r="I658">
        <v>1935938</v>
      </c>
    </row>
    <row r="659" spans="4:9" x14ac:dyDescent="0.25">
      <c r="D659">
        <v>1</v>
      </c>
      <c r="E659" t="s">
        <v>24</v>
      </c>
      <c r="F659" t="s">
        <v>1739</v>
      </c>
      <c r="G659">
        <v>215</v>
      </c>
      <c r="H659">
        <v>245</v>
      </c>
      <c r="I659">
        <v>1935938</v>
      </c>
    </row>
    <row r="660" spans="4:9" x14ac:dyDescent="0.25">
      <c r="D660">
        <v>1</v>
      </c>
      <c r="E660" t="s">
        <v>20</v>
      </c>
      <c r="F660" t="s">
        <v>1739</v>
      </c>
      <c r="G660">
        <v>215</v>
      </c>
      <c r="H660">
        <v>244</v>
      </c>
      <c r="I660">
        <v>1935938</v>
      </c>
    </row>
    <row r="661" spans="4:9" x14ac:dyDescent="0.25">
      <c r="D661">
        <v>3</v>
      </c>
      <c r="E661" t="s">
        <v>20</v>
      </c>
      <c r="F661" t="s">
        <v>1742</v>
      </c>
      <c r="G661">
        <v>215</v>
      </c>
      <c r="H661">
        <v>244</v>
      </c>
      <c r="I661">
        <v>1935943</v>
      </c>
    </row>
    <row r="662" spans="4:9" x14ac:dyDescent="0.25">
      <c r="D662">
        <v>3</v>
      </c>
      <c r="E662" t="s">
        <v>12</v>
      </c>
      <c r="F662" t="s">
        <v>1745</v>
      </c>
      <c r="G662">
        <v>215</v>
      </c>
      <c r="H662">
        <v>263</v>
      </c>
      <c r="I662">
        <v>1935957</v>
      </c>
    </row>
    <row r="663" spans="4:9" x14ac:dyDescent="0.25">
      <c r="D663">
        <v>2</v>
      </c>
      <c r="E663" t="s">
        <v>8</v>
      </c>
      <c r="F663" t="s">
        <v>1748</v>
      </c>
      <c r="G663">
        <v>215</v>
      </c>
      <c r="H663">
        <v>246</v>
      </c>
      <c r="I663">
        <v>1935984</v>
      </c>
    </row>
    <row r="664" spans="4:9" x14ac:dyDescent="0.25">
      <c r="D664">
        <v>2</v>
      </c>
      <c r="E664" t="s">
        <v>255</v>
      </c>
      <c r="F664" t="s">
        <v>1748</v>
      </c>
      <c r="G664">
        <v>215</v>
      </c>
      <c r="H664">
        <v>251</v>
      </c>
      <c r="I664">
        <v>1935984</v>
      </c>
    </row>
    <row r="665" spans="4:9" x14ac:dyDescent="0.25">
      <c r="D665">
        <v>2</v>
      </c>
      <c r="E665" t="s">
        <v>155</v>
      </c>
      <c r="F665" t="s">
        <v>1748</v>
      </c>
      <c r="G665">
        <v>215</v>
      </c>
      <c r="H665">
        <v>247</v>
      </c>
      <c r="I665">
        <v>1935984</v>
      </c>
    </row>
    <row r="666" spans="4:9" x14ac:dyDescent="0.25">
      <c r="D666">
        <v>2</v>
      </c>
      <c r="E666" t="s">
        <v>107</v>
      </c>
      <c r="F666" t="s">
        <v>1751</v>
      </c>
      <c r="G666">
        <v>215</v>
      </c>
      <c r="H666">
        <v>250</v>
      </c>
      <c r="I666">
        <v>1935998</v>
      </c>
    </row>
    <row r="667" spans="4:9" x14ac:dyDescent="0.25">
      <c r="D667">
        <v>3</v>
      </c>
      <c r="E667" t="s">
        <v>12</v>
      </c>
      <c r="F667" t="s">
        <v>1754</v>
      </c>
      <c r="G667">
        <v>215</v>
      </c>
      <c r="H667">
        <v>253</v>
      </c>
      <c r="I667">
        <v>1936001</v>
      </c>
    </row>
    <row r="668" spans="4:9" x14ac:dyDescent="0.25">
      <c r="D668">
        <v>1</v>
      </c>
      <c r="E668" t="s">
        <v>43</v>
      </c>
      <c r="F668" t="s">
        <v>1757</v>
      </c>
      <c r="G668">
        <v>215</v>
      </c>
      <c r="H668">
        <v>239</v>
      </c>
      <c r="I668">
        <v>1943206</v>
      </c>
    </row>
    <row r="669" spans="4:9" x14ac:dyDescent="0.25">
      <c r="D669">
        <v>2</v>
      </c>
      <c r="E669" t="s">
        <v>12</v>
      </c>
      <c r="F669" t="s">
        <v>1760</v>
      </c>
      <c r="G669">
        <v>215</v>
      </c>
      <c r="H669">
        <v>231</v>
      </c>
      <c r="I669">
        <v>1944226</v>
      </c>
    </row>
    <row r="670" spans="4:9" x14ac:dyDescent="0.25">
      <c r="D670">
        <v>3</v>
      </c>
      <c r="E670" t="s">
        <v>12</v>
      </c>
      <c r="F670" t="s">
        <v>1763</v>
      </c>
      <c r="G670">
        <v>215</v>
      </c>
      <c r="H670">
        <v>231</v>
      </c>
      <c r="I670">
        <v>1944232</v>
      </c>
    </row>
    <row r="671" spans="4:9" x14ac:dyDescent="0.25">
      <c r="D671">
        <v>2</v>
      </c>
      <c r="E671" t="s">
        <v>50</v>
      </c>
      <c r="F671" t="s">
        <v>1766</v>
      </c>
      <c r="G671">
        <v>215</v>
      </c>
      <c r="H671">
        <v>233</v>
      </c>
      <c r="I671">
        <v>1944247</v>
      </c>
    </row>
    <row r="672" spans="4:9" x14ac:dyDescent="0.25">
      <c r="D672">
        <v>1</v>
      </c>
      <c r="E672" t="s">
        <v>20</v>
      </c>
      <c r="F672" t="s">
        <v>1769</v>
      </c>
      <c r="G672">
        <v>215</v>
      </c>
      <c r="H672">
        <v>220</v>
      </c>
      <c r="I672">
        <v>1944354</v>
      </c>
    </row>
    <row r="673" spans="4:9" x14ac:dyDescent="0.25">
      <c r="D673">
        <v>2</v>
      </c>
      <c r="E673" t="s">
        <v>155</v>
      </c>
      <c r="F673" t="s">
        <v>1772</v>
      </c>
      <c r="G673">
        <v>215</v>
      </c>
      <c r="H673">
        <v>222</v>
      </c>
      <c r="I673">
        <v>1944373</v>
      </c>
    </row>
    <row r="674" spans="4:9" x14ac:dyDescent="0.25">
      <c r="D674">
        <v>2</v>
      </c>
      <c r="E674" t="s">
        <v>20</v>
      </c>
      <c r="F674" t="s">
        <v>1775</v>
      </c>
      <c r="G674">
        <v>215</v>
      </c>
      <c r="H674">
        <v>220</v>
      </c>
      <c r="I674">
        <v>1944385</v>
      </c>
    </row>
    <row r="675" spans="4:9" x14ac:dyDescent="0.25">
      <c r="D675">
        <v>3</v>
      </c>
      <c r="E675" t="s">
        <v>39</v>
      </c>
      <c r="F675" t="s">
        <v>1778</v>
      </c>
      <c r="G675">
        <v>215</v>
      </c>
      <c r="H675">
        <v>226</v>
      </c>
      <c r="I675">
        <v>1944397</v>
      </c>
    </row>
    <row r="676" spans="4:9" x14ac:dyDescent="0.25">
      <c r="D676">
        <v>2</v>
      </c>
      <c r="E676" t="s">
        <v>16</v>
      </c>
      <c r="F676" t="s">
        <v>1781</v>
      </c>
      <c r="G676">
        <v>215</v>
      </c>
      <c r="H676">
        <v>234</v>
      </c>
      <c r="I676">
        <v>1950307</v>
      </c>
    </row>
    <row r="677" spans="4:9" x14ac:dyDescent="0.25">
      <c r="D677">
        <v>3</v>
      </c>
      <c r="E677" t="s">
        <v>54</v>
      </c>
      <c r="F677" t="s">
        <v>1784</v>
      </c>
      <c r="G677">
        <v>215</v>
      </c>
      <c r="H677">
        <v>237</v>
      </c>
      <c r="I677">
        <v>1950309</v>
      </c>
    </row>
    <row r="678" spans="4:9" x14ac:dyDescent="0.25">
      <c r="D678">
        <v>3</v>
      </c>
      <c r="E678" t="s">
        <v>12</v>
      </c>
      <c r="F678" t="s">
        <v>1787</v>
      </c>
      <c r="G678">
        <v>215</v>
      </c>
      <c r="H678">
        <v>152</v>
      </c>
      <c r="I678">
        <v>1950602</v>
      </c>
    </row>
    <row r="679" spans="4:9" x14ac:dyDescent="0.25">
      <c r="D679">
        <v>1</v>
      </c>
      <c r="E679" t="s">
        <v>107</v>
      </c>
      <c r="F679" t="s">
        <v>1790</v>
      </c>
      <c r="G679">
        <v>215</v>
      </c>
      <c r="H679">
        <v>149</v>
      </c>
      <c r="I679">
        <v>1950611</v>
      </c>
    </row>
    <row r="680" spans="4:9" x14ac:dyDescent="0.25">
      <c r="D680">
        <v>2</v>
      </c>
      <c r="E680" t="s">
        <v>107</v>
      </c>
      <c r="F680" t="s">
        <v>1793</v>
      </c>
      <c r="G680">
        <v>215</v>
      </c>
      <c r="H680">
        <v>149</v>
      </c>
      <c r="I680">
        <v>1950643</v>
      </c>
    </row>
    <row r="681" spans="4:9" x14ac:dyDescent="0.25">
      <c r="D681">
        <v>1</v>
      </c>
      <c r="E681" t="s">
        <v>39</v>
      </c>
      <c r="F681" t="s">
        <v>1796</v>
      </c>
      <c r="G681">
        <v>215</v>
      </c>
      <c r="H681">
        <v>162</v>
      </c>
      <c r="I681">
        <v>1951724</v>
      </c>
    </row>
    <row r="682" spans="4:9" x14ac:dyDescent="0.25">
      <c r="D682">
        <v>2</v>
      </c>
      <c r="E682" t="s">
        <v>107</v>
      </c>
      <c r="F682" t="s">
        <v>1799</v>
      </c>
      <c r="G682">
        <v>215</v>
      </c>
      <c r="H682">
        <v>117</v>
      </c>
      <c r="I682">
        <v>1955070</v>
      </c>
    </row>
    <row r="683" spans="4:9" x14ac:dyDescent="0.25">
      <c r="D683">
        <v>2</v>
      </c>
      <c r="E683" t="s">
        <v>24</v>
      </c>
      <c r="F683" t="s">
        <v>1802</v>
      </c>
      <c r="G683">
        <v>215</v>
      </c>
      <c r="H683">
        <v>112</v>
      </c>
      <c r="I683">
        <v>1955071</v>
      </c>
    </row>
    <row r="684" spans="4:9" x14ac:dyDescent="0.25">
      <c r="D684">
        <v>3</v>
      </c>
      <c r="E684" t="s">
        <v>183</v>
      </c>
      <c r="F684" t="s">
        <v>1805</v>
      </c>
      <c r="G684">
        <v>215</v>
      </c>
      <c r="H684">
        <v>121</v>
      </c>
      <c r="I684">
        <v>1955079</v>
      </c>
    </row>
    <row r="685" spans="4:9" x14ac:dyDescent="0.25">
      <c r="D685">
        <v>1</v>
      </c>
      <c r="E685" t="s">
        <v>39</v>
      </c>
      <c r="F685" t="s">
        <v>1808</v>
      </c>
      <c r="G685">
        <v>215</v>
      </c>
      <c r="H685">
        <v>119</v>
      </c>
      <c r="I685">
        <v>1955081</v>
      </c>
    </row>
    <row r="686" spans="4:9" x14ac:dyDescent="0.25">
      <c r="D686">
        <v>1</v>
      </c>
      <c r="E686" t="s">
        <v>31</v>
      </c>
      <c r="F686" t="s">
        <v>1811</v>
      </c>
      <c r="G686">
        <v>215</v>
      </c>
      <c r="H686">
        <v>132</v>
      </c>
      <c r="I686">
        <v>1955106</v>
      </c>
    </row>
    <row r="687" spans="4:9" x14ac:dyDescent="0.25">
      <c r="D687">
        <v>2</v>
      </c>
      <c r="E687" t="s">
        <v>16</v>
      </c>
      <c r="F687" t="s">
        <v>1814</v>
      </c>
      <c r="G687">
        <v>215</v>
      </c>
      <c r="H687">
        <v>110</v>
      </c>
      <c r="I687">
        <v>1955126</v>
      </c>
    </row>
    <row r="688" spans="4:9" x14ac:dyDescent="0.25">
      <c r="D688">
        <v>3</v>
      </c>
      <c r="E688" t="s">
        <v>24</v>
      </c>
      <c r="F688" t="s">
        <v>1817</v>
      </c>
      <c r="G688">
        <v>215</v>
      </c>
      <c r="H688">
        <v>99</v>
      </c>
      <c r="I688">
        <v>1955132</v>
      </c>
    </row>
    <row r="689" spans="4:9" x14ac:dyDescent="0.25">
      <c r="D689">
        <v>3</v>
      </c>
      <c r="E689" t="s">
        <v>35</v>
      </c>
      <c r="F689" t="s">
        <v>1820</v>
      </c>
      <c r="G689">
        <v>215</v>
      </c>
      <c r="H689">
        <v>327</v>
      </c>
      <c r="I689">
        <v>1955300</v>
      </c>
    </row>
    <row r="690" spans="4:9" x14ac:dyDescent="0.25">
      <c r="D690">
        <v>1</v>
      </c>
      <c r="E690" t="s">
        <v>64</v>
      </c>
      <c r="F690" t="s">
        <v>1823</v>
      </c>
      <c r="G690">
        <v>215</v>
      </c>
      <c r="H690">
        <v>322</v>
      </c>
      <c r="I690">
        <v>1955304</v>
      </c>
    </row>
    <row r="691" spans="4:9" x14ac:dyDescent="0.25">
      <c r="D691">
        <v>2</v>
      </c>
      <c r="E691" t="s">
        <v>31</v>
      </c>
      <c r="F691" t="s">
        <v>1826</v>
      </c>
      <c r="G691">
        <v>215</v>
      </c>
      <c r="H691">
        <v>323</v>
      </c>
      <c r="I691">
        <v>1955344</v>
      </c>
    </row>
    <row r="692" spans="4:9" x14ac:dyDescent="0.25">
      <c r="D692">
        <v>3</v>
      </c>
      <c r="E692" t="s">
        <v>16</v>
      </c>
      <c r="F692" t="s">
        <v>1829</v>
      </c>
      <c r="G692">
        <v>215</v>
      </c>
      <c r="H692">
        <v>326</v>
      </c>
      <c r="I692">
        <v>1955345</v>
      </c>
    </row>
    <row r="693" spans="4:9" x14ac:dyDescent="0.25">
      <c r="D693">
        <v>1</v>
      </c>
      <c r="E693" t="s">
        <v>50</v>
      </c>
      <c r="F693" t="s">
        <v>1832</v>
      </c>
      <c r="G693">
        <v>215</v>
      </c>
      <c r="H693">
        <v>318</v>
      </c>
      <c r="I693">
        <v>1955373</v>
      </c>
    </row>
    <row r="694" spans="4:9" x14ac:dyDescent="0.25">
      <c r="D694">
        <v>2</v>
      </c>
      <c r="E694" t="s">
        <v>35</v>
      </c>
      <c r="F694" t="s">
        <v>1835</v>
      </c>
      <c r="G694">
        <v>215</v>
      </c>
      <c r="H694">
        <v>324</v>
      </c>
      <c r="I694">
        <v>1955415</v>
      </c>
    </row>
    <row r="695" spans="4:9" x14ac:dyDescent="0.25">
      <c r="D695">
        <v>3</v>
      </c>
      <c r="E695" t="s">
        <v>35</v>
      </c>
      <c r="F695" t="s">
        <v>1838</v>
      </c>
      <c r="G695">
        <v>215</v>
      </c>
      <c r="H695">
        <v>320</v>
      </c>
      <c r="I695">
        <v>1955426</v>
      </c>
    </row>
    <row r="696" spans="4:9" x14ac:dyDescent="0.25">
      <c r="D696">
        <v>2</v>
      </c>
      <c r="E696" t="s">
        <v>39</v>
      </c>
      <c r="F696" t="s">
        <v>1841</v>
      </c>
      <c r="G696">
        <v>215</v>
      </c>
      <c r="H696">
        <v>1</v>
      </c>
      <c r="I696">
        <v>1955595</v>
      </c>
    </row>
    <row r="697" spans="4:9" x14ac:dyDescent="0.25">
      <c r="D697">
        <v>3</v>
      </c>
      <c r="E697" t="s">
        <v>64</v>
      </c>
      <c r="F697" t="s">
        <v>1844</v>
      </c>
      <c r="G697">
        <v>215</v>
      </c>
      <c r="H697">
        <v>84</v>
      </c>
      <c r="I697">
        <v>1955645</v>
      </c>
    </row>
    <row r="698" spans="4:9" x14ac:dyDescent="0.25">
      <c r="D698">
        <v>3</v>
      </c>
      <c r="E698" t="s">
        <v>20</v>
      </c>
      <c r="F698" t="s">
        <v>1847</v>
      </c>
      <c r="G698">
        <v>215</v>
      </c>
      <c r="H698">
        <v>16</v>
      </c>
      <c r="I698">
        <v>1959819</v>
      </c>
    </row>
    <row r="699" spans="4:9" x14ac:dyDescent="0.25">
      <c r="D699">
        <v>1</v>
      </c>
      <c r="E699" t="s">
        <v>255</v>
      </c>
      <c r="F699" t="s">
        <v>1850</v>
      </c>
      <c r="G699">
        <v>215</v>
      </c>
      <c r="H699">
        <v>15</v>
      </c>
      <c r="I699">
        <v>1959861</v>
      </c>
    </row>
    <row r="700" spans="4:9" x14ac:dyDescent="0.25">
      <c r="D700">
        <v>1</v>
      </c>
      <c r="E700" t="s">
        <v>20</v>
      </c>
      <c r="F700" t="s">
        <v>1850</v>
      </c>
      <c r="G700">
        <v>215</v>
      </c>
      <c r="H700">
        <v>16</v>
      </c>
      <c r="I700">
        <v>1959861</v>
      </c>
    </row>
    <row r="701" spans="4:9" x14ac:dyDescent="0.25">
      <c r="D701">
        <v>2</v>
      </c>
      <c r="E701" t="s">
        <v>43</v>
      </c>
      <c r="F701" t="s">
        <v>1850</v>
      </c>
      <c r="G701">
        <v>215</v>
      </c>
      <c r="H701">
        <v>19</v>
      </c>
      <c r="I701">
        <v>1959861</v>
      </c>
    </row>
    <row r="702" spans="4:9" x14ac:dyDescent="0.25">
      <c r="D702">
        <v>3</v>
      </c>
      <c r="E702" t="s">
        <v>20</v>
      </c>
      <c r="F702" t="s">
        <v>1853</v>
      </c>
      <c r="G702">
        <v>215</v>
      </c>
      <c r="H702">
        <v>9</v>
      </c>
      <c r="I702">
        <v>1959865</v>
      </c>
    </row>
    <row r="703" spans="4:9" x14ac:dyDescent="0.25">
      <c r="D703">
        <v>3</v>
      </c>
      <c r="E703" t="s">
        <v>255</v>
      </c>
      <c r="F703" t="s">
        <v>1856</v>
      </c>
      <c r="G703">
        <v>215</v>
      </c>
      <c r="H703">
        <v>15</v>
      </c>
      <c r="I703">
        <v>1959866</v>
      </c>
    </row>
    <row r="704" spans="4:9" x14ac:dyDescent="0.25">
      <c r="D704">
        <v>3</v>
      </c>
      <c r="E704" t="s">
        <v>39</v>
      </c>
      <c r="F704" t="s">
        <v>1856</v>
      </c>
      <c r="G704">
        <v>215</v>
      </c>
      <c r="H704">
        <v>17</v>
      </c>
      <c r="I704">
        <v>1959866</v>
      </c>
    </row>
    <row r="705" spans="4:9" x14ac:dyDescent="0.25">
      <c r="D705">
        <v>1</v>
      </c>
      <c r="E705" t="s">
        <v>16</v>
      </c>
      <c r="F705" t="s">
        <v>1859</v>
      </c>
      <c r="G705">
        <v>215</v>
      </c>
      <c r="H705">
        <v>54</v>
      </c>
      <c r="I705">
        <v>1960169</v>
      </c>
    </row>
    <row r="706" spans="4:9" x14ac:dyDescent="0.25">
      <c r="D706">
        <v>1</v>
      </c>
      <c r="E706" t="s">
        <v>39</v>
      </c>
      <c r="F706" t="s">
        <v>1862</v>
      </c>
      <c r="G706">
        <v>215</v>
      </c>
      <c r="H706">
        <v>22</v>
      </c>
      <c r="I706">
        <v>1960173</v>
      </c>
    </row>
    <row r="707" spans="4:9" x14ac:dyDescent="0.25">
      <c r="D707">
        <v>3</v>
      </c>
      <c r="E707" t="s">
        <v>54</v>
      </c>
      <c r="F707" t="s">
        <v>1862</v>
      </c>
      <c r="G707">
        <v>215</v>
      </c>
      <c r="H707">
        <v>23</v>
      </c>
      <c r="I707">
        <v>1960173</v>
      </c>
    </row>
    <row r="708" spans="4:9" x14ac:dyDescent="0.25">
      <c r="D708">
        <v>1</v>
      </c>
      <c r="E708" t="s">
        <v>50</v>
      </c>
      <c r="F708" t="s">
        <v>1865</v>
      </c>
      <c r="G708">
        <v>215</v>
      </c>
      <c r="H708">
        <v>24</v>
      </c>
      <c r="I708">
        <v>1960177</v>
      </c>
    </row>
    <row r="709" spans="4:9" x14ac:dyDescent="0.25">
      <c r="D709">
        <v>2</v>
      </c>
      <c r="E709" t="s">
        <v>43</v>
      </c>
      <c r="F709" t="s">
        <v>1868</v>
      </c>
      <c r="G709">
        <v>215</v>
      </c>
      <c r="H709">
        <v>34</v>
      </c>
      <c r="I709">
        <v>1960178</v>
      </c>
    </row>
    <row r="710" spans="4:9" x14ac:dyDescent="0.25">
      <c r="D710">
        <v>2</v>
      </c>
      <c r="E710" t="s">
        <v>20</v>
      </c>
      <c r="F710" t="s">
        <v>1871</v>
      </c>
      <c r="G710">
        <v>215</v>
      </c>
      <c r="H710">
        <v>45</v>
      </c>
      <c r="I710">
        <v>1960181</v>
      </c>
    </row>
    <row r="711" spans="4:9" x14ac:dyDescent="0.25">
      <c r="D711">
        <v>2</v>
      </c>
      <c r="E711" t="s">
        <v>54</v>
      </c>
      <c r="F711" t="s">
        <v>1874</v>
      </c>
      <c r="G711">
        <v>215</v>
      </c>
      <c r="H711">
        <v>55</v>
      </c>
      <c r="I711">
        <v>1960581</v>
      </c>
    </row>
    <row r="712" spans="4:9" x14ac:dyDescent="0.25">
      <c r="D712">
        <v>3</v>
      </c>
      <c r="E712" t="s">
        <v>64</v>
      </c>
      <c r="F712" t="s">
        <v>1877</v>
      </c>
      <c r="G712">
        <v>215</v>
      </c>
      <c r="H712">
        <v>46</v>
      </c>
      <c r="I712">
        <v>1960588</v>
      </c>
    </row>
    <row r="713" spans="4:9" x14ac:dyDescent="0.25">
      <c r="D713">
        <v>2</v>
      </c>
      <c r="E713" t="s">
        <v>54</v>
      </c>
      <c r="F713" t="s">
        <v>1880</v>
      </c>
      <c r="G713">
        <v>215</v>
      </c>
      <c r="H713">
        <v>23</v>
      </c>
      <c r="I713">
        <v>1960659</v>
      </c>
    </row>
    <row r="714" spans="4:9" x14ac:dyDescent="0.25">
      <c r="D714">
        <v>1</v>
      </c>
      <c r="E714" t="s">
        <v>35</v>
      </c>
      <c r="F714" t="s">
        <v>1883</v>
      </c>
      <c r="G714">
        <v>215</v>
      </c>
      <c r="H714">
        <v>32</v>
      </c>
      <c r="I714">
        <v>1960684</v>
      </c>
    </row>
    <row r="715" spans="4:9" x14ac:dyDescent="0.25">
      <c r="D715">
        <v>1</v>
      </c>
      <c r="E715" t="s">
        <v>20</v>
      </c>
      <c r="F715" t="s">
        <v>1886</v>
      </c>
      <c r="G715">
        <v>215</v>
      </c>
      <c r="H715">
        <v>37</v>
      </c>
      <c r="I715">
        <v>1960688</v>
      </c>
    </row>
    <row r="716" spans="4:9" x14ac:dyDescent="0.25">
      <c r="D716">
        <v>1</v>
      </c>
      <c r="E716" t="s">
        <v>54</v>
      </c>
      <c r="F716" t="s">
        <v>1889</v>
      </c>
      <c r="G716">
        <v>215</v>
      </c>
      <c r="H716">
        <v>58</v>
      </c>
      <c r="I716">
        <v>1960711</v>
      </c>
    </row>
    <row r="717" spans="4:9" x14ac:dyDescent="0.25">
      <c r="D717">
        <v>1</v>
      </c>
      <c r="E717" t="s">
        <v>43</v>
      </c>
      <c r="F717" t="s">
        <v>1892</v>
      </c>
      <c r="G717">
        <v>215</v>
      </c>
      <c r="H717">
        <v>61</v>
      </c>
      <c r="I717">
        <v>1960721</v>
      </c>
    </row>
    <row r="718" spans="4:9" x14ac:dyDescent="0.25">
      <c r="D718">
        <v>2</v>
      </c>
      <c r="E718" t="s">
        <v>64</v>
      </c>
      <c r="F718" t="s">
        <v>1895</v>
      </c>
      <c r="G718">
        <v>215</v>
      </c>
      <c r="H718">
        <v>62</v>
      </c>
      <c r="I718">
        <v>1960899</v>
      </c>
    </row>
    <row r="719" spans="4:9" x14ac:dyDescent="0.25">
      <c r="D719">
        <v>1</v>
      </c>
      <c r="E719" t="s">
        <v>64</v>
      </c>
      <c r="F719" t="s">
        <v>1898</v>
      </c>
      <c r="G719">
        <v>215</v>
      </c>
      <c r="H719">
        <v>26</v>
      </c>
      <c r="I719">
        <v>1960933</v>
      </c>
    </row>
    <row r="720" spans="4:9" x14ac:dyDescent="0.25">
      <c r="D720">
        <v>3</v>
      </c>
      <c r="E720" t="s">
        <v>39</v>
      </c>
      <c r="F720" t="s">
        <v>1901</v>
      </c>
      <c r="G720">
        <v>215</v>
      </c>
      <c r="H720">
        <v>22</v>
      </c>
      <c r="I720">
        <v>1960958</v>
      </c>
    </row>
    <row r="721" spans="4:9" x14ac:dyDescent="0.25">
      <c r="D721">
        <v>3</v>
      </c>
      <c r="E721" t="s">
        <v>155</v>
      </c>
      <c r="F721" t="s">
        <v>1904</v>
      </c>
      <c r="G721">
        <v>215</v>
      </c>
      <c r="H721">
        <v>28</v>
      </c>
      <c r="I721">
        <v>1960959</v>
      </c>
    </row>
    <row r="722" spans="4:9" x14ac:dyDescent="0.25">
      <c r="D722">
        <v>3</v>
      </c>
      <c r="E722" t="s">
        <v>16</v>
      </c>
      <c r="F722" t="s">
        <v>1904</v>
      </c>
      <c r="G722">
        <v>215</v>
      </c>
      <c r="H722">
        <v>27</v>
      </c>
      <c r="I722">
        <v>1960959</v>
      </c>
    </row>
    <row r="723" spans="4:9" x14ac:dyDescent="0.25">
      <c r="D723">
        <v>1</v>
      </c>
      <c r="E723" t="s">
        <v>54</v>
      </c>
      <c r="F723" t="s">
        <v>1907</v>
      </c>
      <c r="G723">
        <v>215</v>
      </c>
      <c r="H723">
        <v>31</v>
      </c>
      <c r="I723">
        <v>1960961</v>
      </c>
    </row>
    <row r="724" spans="4:9" x14ac:dyDescent="0.25">
      <c r="D724">
        <v>3</v>
      </c>
      <c r="E724" t="s">
        <v>20</v>
      </c>
      <c r="F724" t="s">
        <v>1910</v>
      </c>
      <c r="G724">
        <v>215</v>
      </c>
      <c r="H724">
        <v>45</v>
      </c>
      <c r="I724">
        <v>1961011</v>
      </c>
    </row>
    <row r="725" spans="4:9" x14ac:dyDescent="0.25">
      <c r="D725">
        <v>2</v>
      </c>
      <c r="E725" t="s">
        <v>54</v>
      </c>
      <c r="F725" t="s">
        <v>1913</v>
      </c>
      <c r="G725">
        <v>215</v>
      </c>
      <c r="H725">
        <v>31</v>
      </c>
      <c r="I725">
        <v>1965223</v>
      </c>
    </row>
    <row r="726" spans="4:9" x14ac:dyDescent="0.25">
      <c r="D726">
        <v>2</v>
      </c>
      <c r="E726" t="s">
        <v>20</v>
      </c>
      <c r="F726" t="s">
        <v>1916</v>
      </c>
      <c r="G726">
        <v>215</v>
      </c>
      <c r="H726">
        <v>37</v>
      </c>
      <c r="I726">
        <v>1965246</v>
      </c>
    </row>
    <row r="727" spans="4:9" x14ac:dyDescent="0.25">
      <c r="D727">
        <v>3</v>
      </c>
      <c r="E727" t="s">
        <v>20</v>
      </c>
      <c r="F727" t="s">
        <v>1919</v>
      </c>
      <c r="G727">
        <v>215</v>
      </c>
      <c r="H727">
        <v>59</v>
      </c>
      <c r="I727">
        <v>1965250</v>
      </c>
    </row>
    <row r="728" spans="4:9" x14ac:dyDescent="0.25">
      <c r="D728">
        <v>3</v>
      </c>
      <c r="E728" t="s">
        <v>54</v>
      </c>
      <c r="F728" t="s">
        <v>1919</v>
      </c>
      <c r="G728">
        <v>215</v>
      </c>
      <c r="H728">
        <v>58</v>
      </c>
      <c r="I728">
        <v>1965250</v>
      </c>
    </row>
    <row r="729" spans="4:9" x14ac:dyDescent="0.25">
      <c r="D729">
        <v>2</v>
      </c>
      <c r="E729" t="s">
        <v>50</v>
      </c>
      <c r="F729" t="s">
        <v>1922</v>
      </c>
      <c r="G729">
        <v>215</v>
      </c>
      <c r="H729">
        <v>57</v>
      </c>
      <c r="I729">
        <v>1965268</v>
      </c>
    </row>
    <row r="730" spans="4:9" x14ac:dyDescent="0.25">
      <c r="D730">
        <v>3</v>
      </c>
      <c r="E730" t="s">
        <v>64</v>
      </c>
      <c r="F730" t="s">
        <v>1925</v>
      </c>
      <c r="G730">
        <v>215</v>
      </c>
      <c r="H730">
        <v>26</v>
      </c>
      <c r="I730">
        <v>1965327</v>
      </c>
    </row>
    <row r="731" spans="4:9" x14ac:dyDescent="0.25">
      <c r="D731">
        <v>1</v>
      </c>
      <c r="E731" t="s">
        <v>64</v>
      </c>
      <c r="F731" t="s">
        <v>1928</v>
      </c>
      <c r="G731">
        <v>215</v>
      </c>
      <c r="H731">
        <v>46</v>
      </c>
      <c r="I731">
        <v>1965868</v>
      </c>
    </row>
    <row r="732" spans="4:9" x14ac:dyDescent="0.25">
      <c r="D732">
        <v>2</v>
      </c>
      <c r="E732" t="s">
        <v>50</v>
      </c>
      <c r="F732" t="s">
        <v>1931</v>
      </c>
      <c r="G732">
        <v>215</v>
      </c>
      <c r="H732">
        <v>30</v>
      </c>
      <c r="I732">
        <v>1965896</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B4C6-62CE-46CF-A2A5-8159D35A9B58}">
  <sheetPr>
    <tabColor theme="6"/>
  </sheetPr>
  <dimension ref="A1:O143"/>
  <sheetViews>
    <sheetView workbookViewId="0">
      <selection activeCell="L33" sqref="L33"/>
    </sheetView>
  </sheetViews>
  <sheetFormatPr baseColWidth="10" defaultColWidth="11.42578125" defaultRowHeight="15" x14ac:dyDescent="0.25"/>
  <cols>
    <col min="1" max="1" width="80.140625" style="20" customWidth="1"/>
    <col min="2" max="2" width="11.42578125" style="20"/>
    <col min="3" max="3" width="9.85546875" style="20" customWidth="1"/>
    <col min="4" max="4" width="11.85546875" bestFit="1" customWidth="1"/>
    <col min="5" max="5" width="13.85546875" bestFit="1" customWidth="1"/>
    <col min="6" max="6" width="34.28515625" bestFit="1" customWidth="1"/>
    <col min="7" max="7" width="6.85546875" bestFit="1" customWidth="1"/>
    <col min="8" max="8" width="11.5703125" bestFit="1" customWidth="1"/>
    <col min="9" max="9" width="9.5703125" bestFit="1" customWidth="1"/>
    <col min="10" max="10" width="11.42578125" style="20"/>
    <col min="11" max="11" width="13.140625" style="43" bestFit="1" customWidth="1"/>
    <col min="12" max="15" width="11.42578125" style="20"/>
  </cols>
  <sheetData>
    <row r="1" spans="1:13" s="21" customFormat="1" ht="73.5" customHeight="1" x14ac:dyDescent="0.25">
      <c r="A1" s="21" t="e" vm="1">
        <f>Variables!$A$1</f>
        <v>#VALUE!</v>
      </c>
      <c r="K1" s="41"/>
    </row>
    <row r="2" spans="1:13" s="37" customFormat="1" ht="8.1" customHeight="1" x14ac:dyDescent="0.25">
      <c r="K2" s="42"/>
    </row>
    <row r="3" spans="1:13" x14ac:dyDescent="0.25">
      <c r="D3" t="s">
        <v>0</v>
      </c>
      <c r="E3" t="s">
        <v>1</v>
      </c>
      <c r="F3" t="s">
        <v>2</v>
      </c>
      <c r="G3" t="s">
        <v>3</v>
      </c>
      <c r="H3" t="s">
        <v>5</v>
      </c>
      <c r="I3" t="s">
        <v>7</v>
      </c>
      <c r="L3" s="44"/>
    </row>
    <row r="4" spans="1:13" x14ac:dyDescent="0.25">
      <c r="D4">
        <v>1</v>
      </c>
      <c r="E4" s="11">
        <v>45503</v>
      </c>
      <c r="F4" t="s">
        <v>9</v>
      </c>
      <c r="G4">
        <v>99</v>
      </c>
      <c r="H4">
        <v>261</v>
      </c>
      <c r="I4">
        <v>1539969</v>
      </c>
      <c r="L4" s="44"/>
      <c r="M4" s="44"/>
    </row>
    <row r="5" spans="1:13" x14ac:dyDescent="0.25">
      <c r="D5">
        <v>1</v>
      </c>
      <c r="E5" s="11">
        <v>45502</v>
      </c>
      <c r="F5" t="s">
        <v>13</v>
      </c>
      <c r="G5">
        <v>171</v>
      </c>
      <c r="H5">
        <v>259</v>
      </c>
      <c r="I5">
        <v>1543549</v>
      </c>
      <c r="L5" s="44"/>
    </row>
    <row r="6" spans="1:13" x14ac:dyDescent="0.25">
      <c r="D6">
        <v>1</v>
      </c>
      <c r="E6" s="11">
        <v>45514</v>
      </c>
      <c r="F6" t="s">
        <v>17</v>
      </c>
      <c r="G6">
        <v>98</v>
      </c>
      <c r="H6">
        <v>283</v>
      </c>
      <c r="I6">
        <v>1536045</v>
      </c>
      <c r="L6" s="44"/>
    </row>
    <row r="7" spans="1:13" x14ac:dyDescent="0.25">
      <c r="D7">
        <v>1</v>
      </c>
      <c r="E7" s="11">
        <v>45507</v>
      </c>
      <c r="F7" t="s">
        <v>21</v>
      </c>
      <c r="G7">
        <v>122</v>
      </c>
      <c r="H7">
        <v>45</v>
      </c>
      <c r="I7">
        <v>1537325</v>
      </c>
      <c r="L7" s="44"/>
    </row>
    <row r="8" spans="1:13" x14ac:dyDescent="0.25">
      <c r="D8">
        <v>1</v>
      </c>
      <c r="E8" s="11">
        <v>45504</v>
      </c>
      <c r="F8" t="s">
        <v>25</v>
      </c>
      <c r="G8">
        <v>80</v>
      </c>
      <c r="H8">
        <v>179</v>
      </c>
      <c r="I8">
        <v>1548817</v>
      </c>
      <c r="L8" s="44"/>
    </row>
    <row r="9" spans="1:13" x14ac:dyDescent="0.25">
      <c r="D9">
        <v>1</v>
      </c>
      <c r="E9" s="11">
        <v>45504</v>
      </c>
      <c r="F9" t="s">
        <v>28</v>
      </c>
      <c r="G9">
        <v>72</v>
      </c>
      <c r="H9">
        <v>295</v>
      </c>
      <c r="I9">
        <v>1543963</v>
      </c>
      <c r="L9" s="44"/>
    </row>
    <row r="10" spans="1:13" x14ac:dyDescent="0.25">
      <c r="D10">
        <v>1</v>
      </c>
      <c r="E10" s="11">
        <v>45515</v>
      </c>
      <c r="F10" t="s">
        <v>32</v>
      </c>
      <c r="G10">
        <v>31</v>
      </c>
      <c r="H10">
        <v>328</v>
      </c>
      <c r="I10">
        <v>1540305</v>
      </c>
      <c r="L10" s="44"/>
    </row>
    <row r="11" spans="1:13" x14ac:dyDescent="0.25">
      <c r="D11">
        <v>1</v>
      </c>
      <c r="E11" s="11">
        <v>45513</v>
      </c>
      <c r="F11" t="s">
        <v>36</v>
      </c>
      <c r="G11">
        <v>5</v>
      </c>
      <c r="H11">
        <v>92</v>
      </c>
      <c r="I11">
        <v>1540353</v>
      </c>
      <c r="L11" s="44"/>
    </row>
    <row r="12" spans="1:13" x14ac:dyDescent="0.25">
      <c r="D12">
        <v>1</v>
      </c>
      <c r="E12" s="11">
        <v>45508</v>
      </c>
      <c r="F12" t="s">
        <v>40</v>
      </c>
      <c r="G12">
        <v>5</v>
      </c>
      <c r="H12">
        <v>17</v>
      </c>
      <c r="L12" s="44"/>
    </row>
    <row r="13" spans="1:13" x14ac:dyDescent="0.25">
      <c r="D13">
        <v>1</v>
      </c>
      <c r="E13" s="11">
        <v>45509</v>
      </c>
      <c r="F13" t="s">
        <v>44</v>
      </c>
      <c r="G13">
        <v>104</v>
      </c>
      <c r="H13">
        <v>18</v>
      </c>
      <c r="I13">
        <v>1551061</v>
      </c>
      <c r="L13" s="44"/>
    </row>
    <row r="14" spans="1:13" x14ac:dyDescent="0.25">
      <c r="D14">
        <v>1</v>
      </c>
      <c r="E14" s="11">
        <v>45513</v>
      </c>
      <c r="F14" t="s">
        <v>47</v>
      </c>
      <c r="G14">
        <v>77</v>
      </c>
      <c r="H14">
        <v>236</v>
      </c>
      <c r="I14">
        <v>1544218</v>
      </c>
      <c r="L14" s="44"/>
    </row>
    <row r="15" spans="1:13" x14ac:dyDescent="0.25">
      <c r="D15">
        <v>1</v>
      </c>
      <c r="E15" s="11">
        <v>45511</v>
      </c>
      <c r="F15" t="s">
        <v>51</v>
      </c>
      <c r="G15">
        <v>98</v>
      </c>
      <c r="H15">
        <v>316</v>
      </c>
      <c r="I15">
        <v>1544897</v>
      </c>
      <c r="L15" s="44"/>
    </row>
    <row r="16" spans="1:13" x14ac:dyDescent="0.25">
      <c r="D16">
        <v>1</v>
      </c>
      <c r="E16" s="11">
        <v>45512</v>
      </c>
      <c r="F16" t="s">
        <v>55</v>
      </c>
      <c r="G16">
        <v>98</v>
      </c>
      <c r="H16">
        <v>313</v>
      </c>
      <c r="I16">
        <v>1544928</v>
      </c>
      <c r="L16" s="44"/>
    </row>
    <row r="17" spans="4:12" x14ac:dyDescent="0.25">
      <c r="D17">
        <v>1</v>
      </c>
      <c r="E17" s="11">
        <v>45514</v>
      </c>
      <c r="F17" t="s">
        <v>58</v>
      </c>
      <c r="G17">
        <v>80</v>
      </c>
      <c r="H17">
        <v>311</v>
      </c>
      <c r="I17">
        <v>1551443</v>
      </c>
      <c r="L17" s="44"/>
    </row>
    <row r="18" spans="4:12" x14ac:dyDescent="0.25">
      <c r="D18">
        <v>1</v>
      </c>
      <c r="E18" s="11">
        <v>45514</v>
      </c>
      <c r="F18" t="s">
        <v>61</v>
      </c>
      <c r="G18">
        <v>80</v>
      </c>
      <c r="H18">
        <v>329</v>
      </c>
      <c r="L18" s="44"/>
    </row>
    <row r="19" spans="4:12" x14ac:dyDescent="0.25">
      <c r="D19">
        <v>1</v>
      </c>
      <c r="E19" s="11">
        <v>45510</v>
      </c>
      <c r="F19" t="s">
        <v>65</v>
      </c>
      <c r="G19">
        <v>99</v>
      </c>
      <c r="H19">
        <v>91</v>
      </c>
      <c r="I19">
        <v>1555098</v>
      </c>
      <c r="L19" s="44"/>
    </row>
    <row r="20" spans="4:12" x14ac:dyDescent="0.25">
      <c r="D20">
        <v>1</v>
      </c>
      <c r="E20" s="11">
        <v>45511</v>
      </c>
      <c r="F20" t="s">
        <v>68</v>
      </c>
      <c r="G20">
        <v>128</v>
      </c>
      <c r="H20">
        <v>30</v>
      </c>
      <c r="I20">
        <v>1555372</v>
      </c>
      <c r="L20" s="44"/>
    </row>
    <row r="21" spans="4:12" x14ac:dyDescent="0.25">
      <c r="D21">
        <v>1</v>
      </c>
      <c r="E21" s="11">
        <v>45511</v>
      </c>
      <c r="F21" t="s">
        <v>71</v>
      </c>
      <c r="G21">
        <v>54</v>
      </c>
      <c r="H21">
        <v>83</v>
      </c>
      <c r="I21">
        <v>1555537</v>
      </c>
      <c r="L21" s="44"/>
    </row>
    <row r="22" spans="4:12" x14ac:dyDescent="0.25">
      <c r="D22">
        <v>1</v>
      </c>
      <c r="E22" s="11">
        <v>45512</v>
      </c>
      <c r="F22" t="s">
        <v>74</v>
      </c>
      <c r="G22">
        <v>216</v>
      </c>
      <c r="H22">
        <v>81</v>
      </c>
      <c r="I22">
        <v>1556045</v>
      </c>
      <c r="L22" s="44"/>
    </row>
    <row r="23" spans="4:12" x14ac:dyDescent="0.25">
      <c r="D23">
        <v>1</v>
      </c>
      <c r="E23" s="11">
        <v>45514</v>
      </c>
      <c r="F23" t="s">
        <v>77</v>
      </c>
      <c r="G23">
        <v>216</v>
      </c>
      <c r="H23">
        <v>82</v>
      </c>
      <c r="I23">
        <v>1556049</v>
      </c>
      <c r="L23" s="44"/>
    </row>
    <row r="24" spans="4:12" x14ac:dyDescent="0.25">
      <c r="D24">
        <v>1</v>
      </c>
      <c r="E24" s="11">
        <v>45513</v>
      </c>
      <c r="F24" t="s">
        <v>80</v>
      </c>
      <c r="G24">
        <v>216</v>
      </c>
      <c r="H24">
        <v>84</v>
      </c>
      <c r="I24">
        <v>1556797</v>
      </c>
      <c r="L24" s="44"/>
    </row>
    <row r="25" spans="4:12" x14ac:dyDescent="0.25">
      <c r="D25">
        <v>1</v>
      </c>
      <c r="E25" s="11">
        <v>45513</v>
      </c>
      <c r="F25" t="s">
        <v>83</v>
      </c>
      <c r="G25">
        <v>216</v>
      </c>
      <c r="H25">
        <v>86</v>
      </c>
      <c r="I25">
        <v>1556860</v>
      </c>
      <c r="L25" s="44"/>
    </row>
    <row r="26" spans="4:12" x14ac:dyDescent="0.25">
      <c r="D26">
        <v>1</v>
      </c>
      <c r="E26" s="11">
        <v>45514</v>
      </c>
      <c r="F26" t="s">
        <v>86</v>
      </c>
      <c r="G26">
        <v>216</v>
      </c>
      <c r="H26">
        <v>87</v>
      </c>
      <c r="I26">
        <v>1556869</v>
      </c>
      <c r="L26" s="44"/>
    </row>
    <row r="27" spans="4:12" x14ac:dyDescent="0.25">
      <c r="D27">
        <v>1</v>
      </c>
      <c r="E27" s="11">
        <v>45513</v>
      </c>
      <c r="F27" t="s">
        <v>89</v>
      </c>
      <c r="G27">
        <v>33</v>
      </c>
      <c r="H27">
        <v>327</v>
      </c>
      <c r="I27">
        <v>1556873</v>
      </c>
      <c r="L27" s="44"/>
    </row>
    <row r="28" spans="4:12" x14ac:dyDescent="0.25">
      <c r="D28">
        <v>1</v>
      </c>
      <c r="E28" s="11">
        <v>45512</v>
      </c>
      <c r="F28" t="s">
        <v>92</v>
      </c>
      <c r="G28">
        <v>33</v>
      </c>
      <c r="H28">
        <v>315</v>
      </c>
      <c r="I28">
        <v>1559471</v>
      </c>
      <c r="L28" s="44"/>
    </row>
    <row r="29" spans="4:12" x14ac:dyDescent="0.25">
      <c r="D29">
        <v>1</v>
      </c>
      <c r="E29" s="11">
        <v>45514</v>
      </c>
      <c r="F29" t="s">
        <v>95</v>
      </c>
      <c r="G29">
        <v>216</v>
      </c>
      <c r="H29">
        <v>326</v>
      </c>
      <c r="I29">
        <v>1562164</v>
      </c>
      <c r="L29" s="44"/>
    </row>
    <row r="30" spans="4:12" x14ac:dyDescent="0.25">
      <c r="D30">
        <v>1</v>
      </c>
      <c r="E30" s="11">
        <v>45511</v>
      </c>
      <c r="F30" t="s">
        <v>98</v>
      </c>
      <c r="G30">
        <v>164</v>
      </c>
      <c r="H30">
        <v>235</v>
      </c>
      <c r="I30">
        <v>1563327</v>
      </c>
      <c r="L30" s="44"/>
    </row>
    <row r="31" spans="4:12" x14ac:dyDescent="0.25">
      <c r="D31">
        <v>1</v>
      </c>
      <c r="E31" s="11">
        <v>45511</v>
      </c>
      <c r="F31" t="s">
        <v>101</v>
      </c>
      <c r="G31">
        <v>212</v>
      </c>
      <c r="H31">
        <v>85</v>
      </c>
      <c r="L31" s="44"/>
    </row>
    <row r="32" spans="4:12" x14ac:dyDescent="0.25">
      <c r="D32">
        <v>1</v>
      </c>
      <c r="E32" s="11">
        <v>45513</v>
      </c>
      <c r="F32" t="s">
        <v>104</v>
      </c>
      <c r="G32">
        <v>14</v>
      </c>
      <c r="H32">
        <v>206</v>
      </c>
      <c r="I32">
        <v>1566437</v>
      </c>
      <c r="L32" s="44"/>
    </row>
    <row r="33" spans="4:12" x14ac:dyDescent="0.25">
      <c r="D33">
        <v>1</v>
      </c>
      <c r="E33" s="11">
        <v>45501</v>
      </c>
      <c r="F33" t="s">
        <v>108</v>
      </c>
      <c r="G33">
        <v>216</v>
      </c>
      <c r="H33">
        <v>169</v>
      </c>
      <c r="I33">
        <v>1566997</v>
      </c>
      <c r="L33" s="44"/>
    </row>
    <row r="34" spans="4:12" x14ac:dyDescent="0.25">
      <c r="D34">
        <v>1</v>
      </c>
      <c r="E34" s="11">
        <v>45509</v>
      </c>
      <c r="F34" t="s">
        <v>111</v>
      </c>
      <c r="G34">
        <v>72</v>
      </c>
      <c r="H34">
        <v>238</v>
      </c>
      <c r="I34">
        <v>1567361</v>
      </c>
      <c r="L34" s="44"/>
    </row>
    <row r="35" spans="4:12" x14ac:dyDescent="0.25">
      <c r="D35">
        <v>1</v>
      </c>
      <c r="E35" s="11">
        <v>45509</v>
      </c>
      <c r="F35" t="s">
        <v>114</v>
      </c>
      <c r="G35">
        <v>194</v>
      </c>
      <c r="H35">
        <v>34</v>
      </c>
      <c r="I35">
        <v>1569203</v>
      </c>
      <c r="L35" s="44"/>
    </row>
    <row r="36" spans="4:12" x14ac:dyDescent="0.25">
      <c r="D36">
        <v>1</v>
      </c>
      <c r="E36" s="11">
        <v>45510</v>
      </c>
      <c r="F36" t="s">
        <v>117</v>
      </c>
      <c r="G36">
        <v>54</v>
      </c>
      <c r="H36">
        <v>317</v>
      </c>
      <c r="I36">
        <v>1571506</v>
      </c>
      <c r="L36" s="44"/>
    </row>
    <row r="37" spans="4:12" x14ac:dyDescent="0.25">
      <c r="D37">
        <v>1</v>
      </c>
      <c r="E37" s="11">
        <v>45508</v>
      </c>
      <c r="F37" t="s">
        <v>120</v>
      </c>
      <c r="G37">
        <v>212</v>
      </c>
      <c r="H37">
        <v>56</v>
      </c>
      <c r="I37">
        <v>1571559</v>
      </c>
      <c r="L37" s="44"/>
    </row>
    <row r="38" spans="4:12" x14ac:dyDescent="0.25">
      <c r="D38">
        <v>1</v>
      </c>
      <c r="E38" s="11">
        <v>45513</v>
      </c>
      <c r="F38" t="s">
        <v>123</v>
      </c>
      <c r="G38">
        <v>93</v>
      </c>
      <c r="H38">
        <v>286</v>
      </c>
      <c r="I38">
        <v>1572318</v>
      </c>
      <c r="L38" s="44"/>
    </row>
    <row r="39" spans="4:12" x14ac:dyDescent="0.25">
      <c r="D39">
        <v>1</v>
      </c>
      <c r="E39" s="11">
        <v>45504</v>
      </c>
      <c r="F39" t="s">
        <v>126</v>
      </c>
      <c r="G39">
        <v>194</v>
      </c>
      <c r="H39">
        <v>241</v>
      </c>
      <c r="L39" s="44"/>
    </row>
    <row r="40" spans="4:12" x14ac:dyDescent="0.25">
      <c r="D40">
        <v>1</v>
      </c>
      <c r="E40" s="11">
        <v>45508</v>
      </c>
      <c r="F40" t="s">
        <v>126</v>
      </c>
      <c r="G40">
        <v>194</v>
      </c>
      <c r="H40">
        <v>240</v>
      </c>
      <c r="I40">
        <v>1572557</v>
      </c>
      <c r="L40" s="44"/>
    </row>
    <row r="41" spans="4:12" x14ac:dyDescent="0.25">
      <c r="D41">
        <v>1</v>
      </c>
      <c r="E41" s="11">
        <v>45507</v>
      </c>
      <c r="F41" t="s">
        <v>129</v>
      </c>
      <c r="G41">
        <v>151</v>
      </c>
      <c r="H41">
        <v>41</v>
      </c>
      <c r="I41">
        <v>1878353</v>
      </c>
      <c r="L41" s="44"/>
    </row>
    <row r="42" spans="4:12" x14ac:dyDescent="0.25">
      <c r="D42">
        <v>1</v>
      </c>
      <c r="E42" s="11">
        <v>45512</v>
      </c>
      <c r="F42" t="s">
        <v>132</v>
      </c>
      <c r="G42">
        <v>156</v>
      </c>
      <c r="H42">
        <v>40</v>
      </c>
      <c r="I42">
        <v>1878563</v>
      </c>
      <c r="L42" s="44"/>
    </row>
    <row r="43" spans="4:12" x14ac:dyDescent="0.25">
      <c r="D43">
        <v>1</v>
      </c>
      <c r="E43" s="11">
        <v>45514</v>
      </c>
      <c r="F43" t="s">
        <v>135</v>
      </c>
      <c r="G43">
        <v>151</v>
      </c>
      <c r="H43">
        <v>305</v>
      </c>
      <c r="I43">
        <v>1878625</v>
      </c>
      <c r="L43" s="44"/>
    </row>
    <row r="44" spans="4:12" x14ac:dyDescent="0.25">
      <c r="D44">
        <v>1</v>
      </c>
      <c r="E44" s="11">
        <v>45514</v>
      </c>
      <c r="F44" t="s">
        <v>138</v>
      </c>
      <c r="G44">
        <v>56</v>
      </c>
      <c r="H44">
        <v>102</v>
      </c>
      <c r="I44">
        <v>1878715</v>
      </c>
      <c r="L44" s="44"/>
    </row>
    <row r="45" spans="4:12" x14ac:dyDescent="0.25">
      <c r="D45">
        <v>1</v>
      </c>
      <c r="E45" s="11">
        <v>45513</v>
      </c>
      <c r="F45" t="s">
        <v>141</v>
      </c>
      <c r="G45">
        <v>56</v>
      </c>
      <c r="H45">
        <v>105</v>
      </c>
      <c r="I45">
        <v>1878716</v>
      </c>
      <c r="L45" s="44"/>
    </row>
    <row r="46" spans="4:12" x14ac:dyDescent="0.25">
      <c r="D46">
        <v>1</v>
      </c>
      <c r="E46" s="11">
        <v>45502</v>
      </c>
      <c r="F46" t="s">
        <v>144</v>
      </c>
      <c r="G46">
        <v>72</v>
      </c>
      <c r="H46">
        <v>98</v>
      </c>
      <c r="I46">
        <v>1880479</v>
      </c>
      <c r="L46" s="44"/>
    </row>
    <row r="47" spans="4:12" x14ac:dyDescent="0.25">
      <c r="D47">
        <v>1</v>
      </c>
      <c r="E47" s="11">
        <v>45512</v>
      </c>
      <c r="F47" t="s">
        <v>147</v>
      </c>
      <c r="G47">
        <v>216</v>
      </c>
      <c r="H47">
        <v>281</v>
      </c>
      <c r="I47">
        <v>1887714</v>
      </c>
      <c r="L47" s="44"/>
    </row>
    <row r="48" spans="4:12" x14ac:dyDescent="0.25">
      <c r="D48">
        <v>1</v>
      </c>
      <c r="E48" s="11">
        <v>45514</v>
      </c>
      <c r="F48" t="s">
        <v>150</v>
      </c>
      <c r="G48">
        <v>205</v>
      </c>
      <c r="H48">
        <v>90</v>
      </c>
      <c r="I48">
        <v>1887963</v>
      </c>
      <c r="L48" s="44"/>
    </row>
    <row r="49" spans="4:12" x14ac:dyDescent="0.25">
      <c r="D49">
        <v>1</v>
      </c>
      <c r="E49" s="11">
        <v>45509</v>
      </c>
      <c r="F49" t="s">
        <v>152</v>
      </c>
      <c r="G49">
        <v>57</v>
      </c>
      <c r="H49">
        <v>70</v>
      </c>
      <c r="I49">
        <v>1888993</v>
      </c>
      <c r="L49" s="44"/>
    </row>
    <row r="50" spans="4:12" x14ac:dyDescent="0.25">
      <c r="D50">
        <v>1</v>
      </c>
      <c r="E50" s="11">
        <v>45506</v>
      </c>
      <c r="F50" t="s">
        <v>156</v>
      </c>
      <c r="G50">
        <v>72</v>
      </c>
      <c r="H50">
        <v>181</v>
      </c>
      <c r="I50">
        <v>1891323</v>
      </c>
      <c r="L50" s="44"/>
    </row>
    <row r="51" spans="4:12" x14ac:dyDescent="0.25">
      <c r="D51">
        <v>1</v>
      </c>
      <c r="E51" s="11">
        <v>45509</v>
      </c>
      <c r="F51" t="s">
        <v>159</v>
      </c>
      <c r="G51">
        <v>113</v>
      </c>
      <c r="H51">
        <v>71</v>
      </c>
      <c r="I51">
        <v>1891498</v>
      </c>
      <c r="L51" s="44"/>
    </row>
    <row r="52" spans="4:12" x14ac:dyDescent="0.25">
      <c r="D52">
        <v>1</v>
      </c>
      <c r="E52" s="11">
        <v>45514</v>
      </c>
      <c r="F52" t="s">
        <v>161</v>
      </c>
      <c r="G52">
        <v>72</v>
      </c>
      <c r="H52">
        <v>287</v>
      </c>
      <c r="I52">
        <v>1893272</v>
      </c>
      <c r="L52" s="44"/>
    </row>
    <row r="53" spans="4:12" x14ac:dyDescent="0.25">
      <c r="D53">
        <v>1</v>
      </c>
      <c r="E53" s="11">
        <v>45502</v>
      </c>
      <c r="F53" t="s">
        <v>164</v>
      </c>
      <c r="G53">
        <v>113</v>
      </c>
      <c r="H53">
        <v>221</v>
      </c>
      <c r="I53">
        <v>1893845</v>
      </c>
      <c r="L53" s="44"/>
    </row>
    <row r="54" spans="4:12" x14ac:dyDescent="0.25">
      <c r="D54">
        <v>1</v>
      </c>
      <c r="E54" s="11">
        <v>45501</v>
      </c>
      <c r="F54" t="s">
        <v>166</v>
      </c>
      <c r="G54">
        <v>113</v>
      </c>
      <c r="H54">
        <v>223</v>
      </c>
      <c r="I54">
        <v>1893972</v>
      </c>
      <c r="L54" s="44"/>
    </row>
    <row r="55" spans="4:12" x14ac:dyDescent="0.25">
      <c r="D55">
        <v>1</v>
      </c>
      <c r="E55" s="11">
        <v>45507</v>
      </c>
      <c r="F55" t="s">
        <v>168</v>
      </c>
      <c r="G55">
        <v>113</v>
      </c>
      <c r="H55">
        <v>224</v>
      </c>
      <c r="I55">
        <v>1893995</v>
      </c>
      <c r="L55" s="44"/>
    </row>
    <row r="56" spans="4:12" x14ac:dyDescent="0.25">
      <c r="D56">
        <v>1</v>
      </c>
      <c r="E56" s="11">
        <v>45506</v>
      </c>
      <c r="F56" t="s">
        <v>170</v>
      </c>
      <c r="G56">
        <v>72</v>
      </c>
      <c r="H56">
        <v>115</v>
      </c>
      <c r="I56">
        <v>1895661</v>
      </c>
      <c r="L56" s="44"/>
    </row>
    <row r="57" spans="4:12" x14ac:dyDescent="0.25">
      <c r="D57">
        <v>1</v>
      </c>
      <c r="E57" s="11">
        <v>45501</v>
      </c>
      <c r="F57" t="s">
        <v>173</v>
      </c>
      <c r="G57">
        <v>72</v>
      </c>
      <c r="H57">
        <v>117</v>
      </c>
      <c r="I57">
        <v>1895672</v>
      </c>
      <c r="L57" s="44"/>
    </row>
    <row r="58" spans="4:12" x14ac:dyDescent="0.25">
      <c r="D58">
        <v>1</v>
      </c>
      <c r="E58" s="11">
        <v>45512</v>
      </c>
      <c r="F58" t="s">
        <v>176</v>
      </c>
      <c r="G58">
        <v>72</v>
      </c>
      <c r="H58">
        <v>126</v>
      </c>
      <c r="I58">
        <v>1895717</v>
      </c>
      <c r="L58" s="44"/>
    </row>
    <row r="59" spans="4:12" x14ac:dyDescent="0.25">
      <c r="D59">
        <v>1</v>
      </c>
      <c r="E59" s="11">
        <v>45513</v>
      </c>
      <c r="F59" t="s">
        <v>179</v>
      </c>
      <c r="G59">
        <v>82</v>
      </c>
      <c r="H59">
        <v>187</v>
      </c>
      <c r="I59">
        <v>1896230</v>
      </c>
      <c r="L59" s="44"/>
    </row>
    <row r="60" spans="4:12" x14ac:dyDescent="0.25">
      <c r="D60">
        <v>1</v>
      </c>
      <c r="E60" s="11">
        <v>45501</v>
      </c>
      <c r="F60" t="s">
        <v>181</v>
      </c>
      <c r="G60">
        <v>108</v>
      </c>
      <c r="H60">
        <v>151</v>
      </c>
      <c r="I60">
        <v>1896548</v>
      </c>
      <c r="L60" s="44"/>
    </row>
    <row r="61" spans="4:12" x14ac:dyDescent="0.25">
      <c r="D61">
        <v>1</v>
      </c>
      <c r="E61" s="11">
        <v>45500</v>
      </c>
      <c r="F61" t="s">
        <v>184</v>
      </c>
      <c r="G61">
        <v>108</v>
      </c>
      <c r="H61">
        <v>168</v>
      </c>
      <c r="I61">
        <v>1896735</v>
      </c>
      <c r="L61" s="44"/>
    </row>
    <row r="62" spans="4:12" x14ac:dyDescent="0.25">
      <c r="D62">
        <v>1</v>
      </c>
      <c r="E62" s="11">
        <v>45501</v>
      </c>
      <c r="F62" t="s">
        <v>186</v>
      </c>
      <c r="G62">
        <v>108</v>
      </c>
      <c r="H62">
        <v>176</v>
      </c>
      <c r="I62">
        <v>1896763</v>
      </c>
      <c r="L62" s="44"/>
    </row>
    <row r="63" spans="4:12" x14ac:dyDescent="0.25">
      <c r="D63">
        <v>1</v>
      </c>
      <c r="E63" s="11">
        <v>45503</v>
      </c>
      <c r="F63" t="s">
        <v>188</v>
      </c>
      <c r="G63">
        <v>108</v>
      </c>
      <c r="H63">
        <v>178</v>
      </c>
      <c r="I63">
        <v>1896765</v>
      </c>
      <c r="L63" s="44"/>
    </row>
    <row r="64" spans="4:12" x14ac:dyDescent="0.25">
      <c r="D64">
        <v>1</v>
      </c>
      <c r="E64" s="11">
        <v>45514</v>
      </c>
      <c r="F64" t="s">
        <v>190</v>
      </c>
      <c r="G64">
        <v>151</v>
      </c>
      <c r="H64">
        <v>27</v>
      </c>
      <c r="I64">
        <v>1898250</v>
      </c>
      <c r="L64" s="44"/>
    </row>
    <row r="65" spans="4:12" x14ac:dyDescent="0.25">
      <c r="D65">
        <v>1</v>
      </c>
      <c r="E65" s="11">
        <v>45504</v>
      </c>
      <c r="F65" t="s">
        <v>193</v>
      </c>
      <c r="G65">
        <v>53</v>
      </c>
      <c r="H65">
        <v>172</v>
      </c>
      <c r="I65">
        <v>1898499</v>
      </c>
      <c r="L65" s="44"/>
    </row>
    <row r="66" spans="4:12" x14ac:dyDescent="0.25">
      <c r="D66">
        <v>1</v>
      </c>
      <c r="E66" s="11">
        <v>45507</v>
      </c>
      <c r="F66" t="s">
        <v>196</v>
      </c>
      <c r="G66">
        <v>104</v>
      </c>
      <c r="H66">
        <v>209</v>
      </c>
      <c r="I66">
        <v>1899653</v>
      </c>
      <c r="L66" s="44"/>
    </row>
    <row r="67" spans="4:12" x14ac:dyDescent="0.25">
      <c r="D67">
        <v>1</v>
      </c>
      <c r="E67" s="11">
        <v>45513</v>
      </c>
      <c r="F67" t="s">
        <v>199</v>
      </c>
      <c r="G67">
        <v>60</v>
      </c>
      <c r="H67">
        <v>47</v>
      </c>
      <c r="I67">
        <v>1899666</v>
      </c>
      <c r="L67" s="44"/>
    </row>
    <row r="68" spans="4:12" x14ac:dyDescent="0.25">
      <c r="D68">
        <v>1</v>
      </c>
      <c r="E68" s="11">
        <v>45512</v>
      </c>
      <c r="F68" t="s">
        <v>202</v>
      </c>
      <c r="G68">
        <v>77</v>
      </c>
      <c r="H68">
        <v>210</v>
      </c>
      <c r="I68">
        <v>1899728</v>
      </c>
      <c r="L68" s="44"/>
    </row>
    <row r="69" spans="4:12" x14ac:dyDescent="0.25">
      <c r="D69">
        <v>1</v>
      </c>
      <c r="E69" s="11">
        <v>45514</v>
      </c>
      <c r="F69" t="s">
        <v>205</v>
      </c>
      <c r="G69">
        <v>68</v>
      </c>
      <c r="H69">
        <v>29</v>
      </c>
      <c r="I69">
        <v>1901284</v>
      </c>
      <c r="L69" s="44"/>
    </row>
    <row r="70" spans="4:12" x14ac:dyDescent="0.25">
      <c r="D70">
        <v>1</v>
      </c>
      <c r="E70" s="11">
        <v>45513</v>
      </c>
      <c r="F70" t="s">
        <v>208</v>
      </c>
      <c r="G70">
        <v>42</v>
      </c>
      <c r="H70">
        <v>134</v>
      </c>
      <c r="I70">
        <v>1901538</v>
      </c>
      <c r="L70" s="44"/>
    </row>
    <row r="71" spans="4:12" x14ac:dyDescent="0.25">
      <c r="D71">
        <v>1</v>
      </c>
      <c r="E71" s="11">
        <v>45510</v>
      </c>
      <c r="F71" t="s">
        <v>210</v>
      </c>
      <c r="G71">
        <v>42</v>
      </c>
      <c r="H71">
        <v>135</v>
      </c>
      <c r="I71">
        <v>1901545</v>
      </c>
      <c r="L71" s="44"/>
    </row>
    <row r="72" spans="4:12" x14ac:dyDescent="0.25">
      <c r="D72">
        <v>1</v>
      </c>
      <c r="E72" s="11">
        <v>45512</v>
      </c>
      <c r="F72" t="s">
        <v>212</v>
      </c>
      <c r="G72">
        <v>42</v>
      </c>
      <c r="H72">
        <v>138</v>
      </c>
      <c r="I72">
        <v>1901550</v>
      </c>
      <c r="L72" s="44"/>
    </row>
    <row r="73" spans="4:12" x14ac:dyDescent="0.25">
      <c r="D73">
        <v>1</v>
      </c>
      <c r="E73" s="11">
        <v>45514</v>
      </c>
      <c r="F73" t="s">
        <v>214</v>
      </c>
      <c r="G73">
        <v>42</v>
      </c>
      <c r="H73">
        <v>139</v>
      </c>
      <c r="I73">
        <v>1901556</v>
      </c>
      <c r="L73" s="44"/>
    </row>
    <row r="74" spans="4:12" x14ac:dyDescent="0.25">
      <c r="D74">
        <v>1</v>
      </c>
      <c r="E74" s="11">
        <v>45501</v>
      </c>
      <c r="F74" t="s">
        <v>216</v>
      </c>
      <c r="G74">
        <v>108</v>
      </c>
      <c r="H74">
        <v>230</v>
      </c>
      <c r="I74">
        <v>1902055</v>
      </c>
      <c r="L74" s="44"/>
    </row>
    <row r="75" spans="4:12" x14ac:dyDescent="0.25">
      <c r="D75">
        <v>1</v>
      </c>
      <c r="E75" s="11">
        <v>45502</v>
      </c>
      <c r="F75" t="s">
        <v>218</v>
      </c>
      <c r="G75">
        <v>108</v>
      </c>
      <c r="H75">
        <v>231</v>
      </c>
      <c r="I75">
        <v>1902081</v>
      </c>
      <c r="L75" s="44"/>
    </row>
    <row r="76" spans="4:12" x14ac:dyDescent="0.25">
      <c r="D76">
        <v>1</v>
      </c>
      <c r="E76" s="11">
        <v>45508</v>
      </c>
      <c r="F76" t="s">
        <v>220</v>
      </c>
      <c r="G76">
        <v>113</v>
      </c>
      <c r="H76">
        <v>1</v>
      </c>
      <c r="I76">
        <v>1902135</v>
      </c>
      <c r="L76" s="44"/>
    </row>
    <row r="77" spans="4:12" x14ac:dyDescent="0.25">
      <c r="D77">
        <v>1</v>
      </c>
      <c r="E77" s="11">
        <v>45507</v>
      </c>
      <c r="F77" t="s">
        <v>222</v>
      </c>
      <c r="G77">
        <v>113</v>
      </c>
      <c r="H77">
        <v>2</v>
      </c>
      <c r="I77">
        <v>1902147</v>
      </c>
      <c r="L77" s="44"/>
    </row>
    <row r="78" spans="4:12" x14ac:dyDescent="0.25">
      <c r="D78">
        <v>1</v>
      </c>
      <c r="E78" s="11">
        <v>45508</v>
      </c>
      <c r="F78" t="s">
        <v>224</v>
      </c>
      <c r="G78">
        <v>42</v>
      </c>
      <c r="H78">
        <v>275</v>
      </c>
      <c r="I78">
        <v>1902295</v>
      </c>
      <c r="L78" s="44"/>
    </row>
    <row r="79" spans="4:12" x14ac:dyDescent="0.25">
      <c r="D79">
        <v>1</v>
      </c>
      <c r="E79" s="11">
        <v>45507</v>
      </c>
      <c r="F79" t="s">
        <v>226</v>
      </c>
      <c r="G79">
        <v>42</v>
      </c>
      <c r="H79">
        <v>276</v>
      </c>
      <c r="I79">
        <v>1902307</v>
      </c>
      <c r="L79" s="44"/>
    </row>
    <row r="80" spans="4:12" x14ac:dyDescent="0.25">
      <c r="D80">
        <v>1</v>
      </c>
      <c r="E80" s="11">
        <v>45511</v>
      </c>
      <c r="F80" t="s">
        <v>228</v>
      </c>
      <c r="G80">
        <v>200</v>
      </c>
      <c r="H80">
        <v>284</v>
      </c>
      <c r="I80">
        <v>1902841</v>
      </c>
      <c r="L80" s="44"/>
    </row>
    <row r="81" spans="4:12" x14ac:dyDescent="0.25">
      <c r="D81">
        <v>1</v>
      </c>
      <c r="E81" s="11">
        <v>45513</v>
      </c>
      <c r="F81" t="s">
        <v>231</v>
      </c>
      <c r="G81">
        <v>33</v>
      </c>
      <c r="H81">
        <v>309</v>
      </c>
      <c r="I81">
        <v>1903011</v>
      </c>
      <c r="L81" s="44"/>
    </row>
    <row r="82" spans="4:12" x14ac:dyDescent="0.25">
      <c r="D82">
        <v>1</v>
      </c>
      <c r="E82" s="11">
        <v>45513</v>
      </c>
      <c r="F82" t="s">
        <v>234</v>
      </c>
      <c r="G82">
        <v>20</v>
      </c>
      <c r="H82">
        <v>64</v>
      </c>
      <c r="I82">
        <v>1903112</v>
      </c>
      <c r="L82" s="44"/>
    </row>
    <row r="83" spans="4:12" x14ac:dyDescent="0.25">
      <c r="D83">
        <v>1</v>
      </c>
      <c r="E83" s="11">
        <v>45500</v>
      </c>
      <c r="F83" t="s">
        <v>236</v>
      </c>
      <c r="G83">
        <v>20</v>
      </c>
      <c r="H83">
        <v>120</v>
      </c>
      <c r="I83">
        <v>1903136</v>
      </c>
      <c r="L83" s="44"/>
    </row>
    <row r="84" spans="4:12" x14ac:dyDescent="0.25">
      <c r="D84">
        <v>1</v>
      </c>
      <c r="E84" s="11">
        <v>45507</v>
      </c>
      <c r="F84" t="s">
        <v>236</v>
      </c>
      <c r="G84">
        <v>20</v>
      </c>
      <c r="H84">
        <v>118</v>
      </c>
      <c r="I84">
        <v>1903136</v>
      </c>
      <c r="L84" s="44"/>
    </row>
    <row r="85" spans="4:12" x14ac:dyDescent="0.25">
      <c r="D85">
        <v>1</v>
      </c>
      <c r="E85" s="11">
        <v>45512</v>
      </c>
      <c r="F85" t="s">
        <v>239</v>
      </c>
      <c r="G85">
        <v>113</v>
      </c>
      <c r="H85">
        <v>285</v>
      </c>
      <c r="I85">
        <v>1904038</v>
      </c>
      <c r="L85" s="44"/>
    </row>
    <row r="86" spans="4:12" x14ac:dyDescent="0.25">
      <c r="D86">
        <v>1</v>
      </c>
      <c r="E86" s="11">
        <v>45511</v>
      </c>
      <c r="F86" t="s">
        <v>241</v>
      </c>
      <c r="G86">
        <v>113</v>
      </c>
      <c r="H86">
        <v>280</v>
      </c>
      <c r="I86">
        <v>1904040</v>
      </c>
      <c r="L86" s="44"/>
    </row>
    <row r="87" spans="4:12" x14ac:dyDescent="0.25">
      <c r="D87">
        <v>1</v>
      </c>
      <c r="E87" s="11">
        <v>45513</v>
      </c>
      <c r="F87" t="s">
        <v>243</v>
      </c>
      <c r="G87">
        <v>66</v>
      </c>
      <c r="H87">
        <v>36</v>
      </c>
      <c r="I87">
        <v>1904099</v>
      </c>
      <c r="L87" s="44"/>
    </row>
    <row r="88" spans="4:12" x14ac:dyDescent="0.25">
      <c r="D88">
        <v>1</v>
      </c>
      <c r="E88" s="11">
        <v>45504</v>
      </c>
      <c r="F88" t="s">
        <v>246</v>
      </c>
      <c r="G88">
        <v>77</v>
      </c>
      <c r="H88">
        <v>296</v>
      </c>
      <c r="I88">
        <v>1904251</v>
      </c>
      <c r="L88" s="44"/>
    </row>
    <row r="89" spans="4:12" x14ac:dyDescent="0.25">
      <c r="D89">
        <v>1</v>
      </c>
      <c r="E89" s="11">
        <v>45503</v>
      </c>
      <c r="F89" t="s">
        <v>249</v>
      </c>
      <c r="G89">
        <v>77</v>
      </c>
      <c r="H89">
        <v>219</v>
      </c>
      <c r="I89">
        <v>1904430</v>
      </c>
      <c r="L89" s="44"/>
    </row>
    <row r="90" spans="4:12" x14ac:dyDescent="0.25">
      <c r="D90">
        <v>1</v>
      </c>
      <c r="E90" s="11">
        <v>45506</v>
      </c>
      <c r="F90" t="s">
        <v>252</v>
      </c>
      <c r="G90">
        <v>77</v>
      </c>
      <c r="H90">
        <v>294</v>
      </c>
      <c r="I90">
        <v>1904745</v>
      </c>
      <c r="L90" s="44"/>
    </row>
    <row r="91" spans="4:12" x14ac:dyDescent="0.25">
      <c r="D91">
        <v>1</v>
      </c>
      <c r="E91" s="11">
        <v>45505</v>
      </c>
      <c r="F91" t="s">
        <v>256</v>
      </c>
      <c r="G91">
        <v>93</v>
      </c>
      <c r="H91">
        <v>264</v>
      </c>
      <c r="I91">
        <v>1904977</v>
      </c>
      <c r="L91" s="44"/>
    </row>
    <row r="92" spans="4:12" x14ac:dyDescent="0.25">
      <c r="D92">
        <v>1</v>
      </c>
      <c r="E92" s="11">
        <v>45507</v>
      </c>
      <c r="F92" t="s">
        <v>259</v>
      </c>
      <c r="G92">
        <v>93</v>
      </c>
      <c r="H92">
        <v>267</v>
      </c>
      <c r="I92">
        <v>1905860</v>
      </c>
      <c r="L92" s="44"/>
    </row>
    <row r="93" spans="4:12" x14ac:dyDescent="0.25">
      <c r="D93">
        <v>1</v>
      </c>
      <c r="E93" s="11">
        <v>45507</v>
      </c>
      <c r="F93" t="s">
        <v>262</v>
      </c>
      <c r="G93">
        <v>82</v>
      </c>
      <c r="H93">
        <v>196</v>
      </c>
      <c r="I93">
        <v>1906515</v>
      </c>
      <c r="L93" s="44"/>
    </row>
    <row r="94" spans="4:12" x14ac:dyDescent="0.25">
      <c r="D94">
        <v>1</v>
      </c>
      <c r="E94" s="11">
        <v>45500</v>
      </c>
      <c r="F94" t="s">
        <v>265</v>
      </c>
      <c r="G94">
        <v>82</v>
      </c>
      <c r="H94">
        <v>260</v>
      </c>
      <c r="I94">
        <v>1907192</v>
      </c>
      <c r="L94" s="44"/>
    </row>
    <row r="95" spans="4:12" x14ac:dyDescent="0.25">
      <c r="D95">
        <v>1</v>
      </c>
      <c r="E95" s="11">
        <v>45507</v>
      </c>
      <c r="F95" t="s">
        <v>268</v>
      </c>
      <c r="G95">
        <v>59</v>
      </c>
      <c r="H95">
        <v>59</v>
      </c>
      <c r="I95">
        <v>1908333</v>
      </c>
      <c r="L95" s="44"/>
    </row>
    <row r="96" spans="4:12" x14ac:dyDescent="0.25">
      <c r="D96">
        <v>1</v>
      </c>
      <c r="E96" s="11">
        <v>45513</v>
      </c>
      <c r="F96" t="s">
        <v>271</v>
      </c>
      <c r="G96">
        <v>93</v>
      </c>
      <c r="H96">
        <v>184</v>
      </c>
      <c r="I96">
        <v>1909030</v>
      </c>
      <c r="L96" s="44"/>
    </row>
    <row r="97" spans="4:12" x14ac:dyDescent="0.25">
      <c r="D97">
        <v>1</v>
      </c>
      <c r="E97" s="11">
        <v>45504</v>
      </c>
      <c r="F97" t="s">
        <v>274</v>
      </c>
      <c r="G97">
        <v>72</v>
      </c>
      <c r="H97">
        <v>266</v>
      </c>
      <c r="I97">
        <v>1909294</v>
      </c>
      <c r="L97" s="44"/>
    </row>
    <row r="98" spans="4:12" x14ac:dyDescent="0.25">
      <c r="D98">
        <v>1</v>
      </c>
      <c r="E98" s="11">
        <v>45501</v>
      </c>
      <c r="F98" t="s">
        <v>274</v>
      </c>
      <c r="G98">
        <v>72</v>
      </c>
      <c r="H98">
        <v>270</v>
      </c>
      <c r="I98">
        <v>1909294</v>
      </c>
      <c r="L98" s="44"/>
    </row>
    <row r="99" spans="4:12" x14ac:dyDescent="0.25">
      <c r="D99">
        <v>1</v>
      </c>
      <c r="E99" s="11">
        <v>45504</v>
      </c>
      <c r="F99" t="s">
        <v>274</v>
      </c>
      <c r="G99">
        <v>72</v>
      </c>
      <c r="H99">
        <v>268</v>
      </c>
      <c r="I99">
        <v>1909294</v>
      </c>
      <c r="L99" s="44"/>
    </row>
    <row r="100" spans="4:12" x14ac:dyDescent="0.25">
      <c r="D100">
        <v>1</v>
      </c>
      <c r="E100" s="11">
        <v>45506</v>
      </c>
      <c r="F100" t="s">
        <v>274</v>
      </c>
      <c r="G100">
        <v>72</v>
      </c>
      <c r="H100">
        <v>269</v>
      </c>
      <c r="I100">
        <v>1909294</v>
      </c>
      <c r="L100" s="44"/>
    </row>
    <row r="101" spans="4:12" x14ac:dyDescent="0.25">
      <c r="D101">
        <v>1</v>
      </c>
      <c r="E101" s="11">
        <v>45514</v>
      </c>
      <c r="F101" t="s">
        <v>277</v>
      </c>
      <c r="G101">
        <v>110</v>
      </c>
      <c r="H101">
        <v>25</v>
      </c>
      <c r="I101">
        <v>1910412</v>
      </c>
      <c r="L101" s="44"/>
    </row>
    <row r="102" spans="4:12" x14ac:dyDescent="0.25">
      <c r="D102">
        <v>1</v>
      </c>
      <c r="E102" s="11">
        <v>45514</v>
      </c>
      <c r="F102" t="s">
        <v>280</v>
      </c>
      <c r="G102">
        <v>110</v>
      </c>
      <c r="H102">
        <v>49</v>
      </c>
      <c r="I102">
        <v>1910451</v>
      </c>
      <c r="L102" s="44"/>
    </row>
    <row r="103" spans="4:12" x14ac:dyDescent="0.25">
      <c r="D103">
        <v>1</v>
      </c>
      <c r="E103" s="11">
        <v>45509</v>
      </c>
      <c r="F103" t="s">
        <v>283</v>
      </c>
      <c r="G103">
        <v>110</v>
      </c>
      <c r="H103">
        <v>50</v>
      </c>
      <c r="I103">
        <v>1910560</v>
      </c>
      <c r="L103" s="44"/>
    </row>
    <row r="104" spans="4:12" x14ac:dyDescent="0.25">
      <c r="D104">
        <v>1</v>
      </c>
      <c r="E104" s="11">
        <v>45513</v>
      </c>
      <c r="F104" t="s">
        <v>283</v>
      </c>
      <c r="G104">
        <v>110</v>
      </c>
      <c r="H104">
        <v>51</v>
      </c>
      <c r="I104">
        <v>1910560</v>
      </c>
      <c r="L104" s="44"/>
    </row>
    <row r="105" spans="4:12" x14ac:dyDescent="0.25">
      <c r="D105">
        <v>1</v>
      </c>
      <c r="E105" s="11">
        <v>45511</v>
      </c>
      <c r="F105" t="s">
        <v>286</v>
      </c>
      <c r="G105">
        <v>106</v>
      </c>
      <c r="H105">
        <v>38</v>
      </c>
      <c r="I105">
        <v>1912322</v>
      </c>
      <c r="L105" s="44"/>
    </row>
    <row r="106" spans="4:12" x14ac:dyDescent="0.25">
      <c r="D106">
        <v>1</v>
      </c>
      <c r="E106" s="11">
        <v>45502</v>
      </c>
      <c r="F106" t="s">
        <v>289</v>
      </c>
      <c r="G106">
        <v>77</v>
      </c>
      <c r="H106">
        <v>116</v>
      </c>
      <c r="I106">
        <v>1912546</v>
      </c>
      <c r="L106" s="44"/>
    </row>
    <row r="107" spans="4:12" x14ac:dyDescent="0.25">
      <c r="D107">
        <v>1</v>
      </c>
      <c r="E107" s="11">
        <v>45502</v>
      </c>
      <c r="F107" t="s">
        <v>292</v>
      </c>
      <c r="G107">
        <v>42</v>
      </c>
      <c r="H107">
        <v>215</v>
      </c>
      <c r="I107">
        <v>1913899</v>
      </c>
      <c r="L107" s="44"/>
    </row>
    <row r="108" spans="4:12" x14ac:dyDescent="0.25">
      <c r="D108">
        <v>1</v>
      </c>
      <c r="E108" s="11">
        <v>45501</v>
      </c>
      <c r="F108" t="s">
        <v>294</v>
      </c>
      <c r="G108">
        <v>42</v>
      </c>
      <c r="H108">
        <v>217</v>
      </c>
      <c r="I108">
        <v>1913907</v>
      </c>
      <c r="L108" s="44"/>
    </row>
    <row r="109" spans="4:12" x14ac:dyDescent="0.25">
      <c r="D109">
        <v>1</v>
      </c>
      <c r="E109" s="11">
        <v>45509</v>
      </c>
      <c r="F109" t="s">
        <v>296</v>
      </c>
      <c r="G109">
        <v>42</v>
      </c>
      <c r="H109">
        <v>218</v>
      </c>
      <c r="I109">
        <v>1913913</v>
      </c>
      <c r="L109" s="44"/>
    </row>
    <row r="110" spans="4:12" x14ac:dyDescent="0.25">
      <c r="D110">
        <v>1</v>
      </c>
      <c r="E110" s="11">
        <v>45505</v>
      </c>
      <c r="F110" t="s">
        <v>298</v>
      </c>
      <c r="G110">
        <v>42</v>
      </c>
      <c r="H110">
        <v>216</v>
      </c>
      <c r="I110">
        <v>1913922</v>
      </c>
      <c r="L110" s="44"/>
    </row>
    <row r="111" spans="4:12" x14ac:dyDescent="0.25">
      <c r="D111">
        <v>1</v>
      </c>
      <c r="E111" s="11">
        <v>45510</v>
      </c>
      <c r="F111" t="s">
        <v>300</v>
      </c>
      <c r="G111">
        <v>82</v>
      </c>
      <c r="H111">
        <v>147</v>
      </c>
      <c r="I111">
        <v>1914912</v>
      </c>
      <c r="L111" s="44"/>
    </row>
    <row r="112" spans="4:12" x14ac:dyDescent="0.25">
      <c r="D112">
        <v>1</v>
      </c>
      <c r="E112" s="11">
        <v>45502</v>
      </c>
      <c r="F112" t="s">
        <v>303</v>
      </c>
      <c r="G112">
        <v>82</v>
      </c>
      <c r="H112">
        <v>143</v>
      </c>
      <c r="I112">
        <v>1914921</v>
      </c>
      <c r="L112" s="44"/>
    </row>
    <row r="113" spans="4:12" x14ac:dyDescent="0.25">
      <c r="D113">
        <v>1</v>
      </c>
      <c r="E113" s="11">
        <v>45502</v>
      </c>
      <c r="F113" t="s">
        <v>306</v>
      </c>
      <c r="G113">
        <v>72</v>
      </c>
      <c r="H113">
        <v>150</v>
      </c>
      <c r="I113">
        <v>1916223</v>
      </c>
      <c r="L113" s="44"/>
    </row>
    <row r="114" spans="4:12" x14ac:dyDescent="0.25">
      <c r="D114">
        <v>1</v>
      </c>
      <c r="E114" s="11">
        <v>45504</v>
      </c>
      <c r="F114" t="s">
        <v>309</v>
      </c>
      <c r="G114">
        <v>9</v>
      </c>
      <c r="H114">
        <v>113</v>
      </c>
      <c r="I114">
        <v>1916809</v>
      </c>
      <c r="L114" s="44"/>
    </row>
    <row r="115" spans="4:12" x14ac:dyDescent="0.25">
      <c r="D115">
        <v>1</v>
      </c>
      <c r="E115" s="11">
        <v>45514</v>
      </c>
      <c r="F115" t="s">
        <v>312</v>
      </c>
      <c r="G115">
        <v>42</v>
      </c>
      <c r="H115">
        <v>310</v>
      </c>
      <c r="I115">
        <v>1918369</v>
      </c>
      <c r="L115" s="44"/>
    </row>
    <row r="116" spans="4:12" x14ac:dyDescent="0.25">
      <c r="D116">
        <v>1</v>
      </c>
      <c r="E116" s="11">
        <v>45511</v>
      </c>
      <c r="F116" t="s">
        <v>314</v>
      </c>
      <c r="G116">
        <v>42</v>
      </c>
      <c r="H116">
        <v>307</v>
      </c>
      <c r="I116">
        <v>1918372</v>
      </c>
      <c r="L116" s="44"/>
    </row>
    <row r="117" spans="4:12" x14ac:dyDescent="0.25">
      <c r="D117">
        <v>1</v>
      </c>
      <c r="E117" s="11">
        <v>45515</v>
      </c>
      <c r="F117" t="s">
        <v>316</v>
      </c>
      <c r="G117">
        <v>42</v>
      </c>
      <c r="H117">
        <v>306</v>
      </c>
      <c r="I117">
        <v>1918376</v>
      </c>
      <c r="L117" s="44"/>
    </row>
    <row r="118" spans="4:12" x14ac:dyDescent="0.25">
      <c r="D118">
        <v>1</v>
      </c>
      <c r="E118" s="11">
        <v>45511</v>
      </c>
      <c r="F118" t="s">
        <v>318</v>
      </c>
      <c r="G118">
        <v>42</v>
      </c>
      <c r="H118">
        <v>302</v>
      </c>
      <c r="I118">
        <v>1918377</v>
      </c>
      <c r="L118" s="44"/>
    </row>
    <row r="119" spans="4:12" x14ac:dyDescent="0.25">
      <c r="D119">
        <v>1</v>
      </c>
      <c r="E119" s="11">
        <v>45512</v>
      </c>
      <c r="F119" t="s">
        <v>320</v>
      </c>
      <c r="G119">
        <v>42</v>
      </c>
      <c r="H119">
        <v>303</v>
      </c>
      <c r="I119">
        <v>1918379</v>
      </c>
      <c r="L119" s="44"/>
    </row>
    <row r="120" spans="4:12" x14ac:dyDescent="0.25">
      <c r="D120">
        <v>1</v>
      </c>
      <c r="E120" s="11">
        <v>45508</v>
      </c>
      <c r="F120" t="s">
        <v>322</v>
      </c>
      <c r="G120">
        <v>42</v>
      </c>
      <c r="H120">
        <v>10</v>
      </c>
      <c r="I120">
        <v>1918856</v>
      </c>
      <c r="L120" s="44"/>
    </row>
    <row r="121" spans="4:12" x14ac:dyDescent="0.25">
      <c r="D121">
        <v>1</v>
      </c>
      <c r="E121" s="11">
        <v>45509</v>
      </c>
      <c r="F121" t="s">
        <v>324</v>
      </c>
      <c r="G121">
        <v>42</v>
      </c>
      <c r="H121">
        <v>12</v>
      </c>
      <c r="I121">
        <v>1918865</v>
      </c>
      <c r="L121" s="44"/>
    </row>
    <row r="122" spans="4:12" x14ac:dyDescent="0.25">
      <c r="D122">
        <v>1</v>
      </c>
      <c r="E122" s="11">
        <v>45505</v>
      </c>
      <c r="F122" t="s">
        <v>326</v>
      </c>
      <c r="G122">
        <v>42</v>
      </c>
      <c r="H122">
        <v>65</v>
      </c>
      <c r="I122">
        <v>1919002</v>
      </c>
      <c r="L122" s="44"/>
    </row>
    <row r="123" spans="4:12" x14ac:dyDescent="0.25">
      <c r="D123">
        <v>1</v>
      </c>
      <c r="E123" s="11">
        <v>45504</v>
      </c>
      <c r="F123" t="s">
        <v>328</v>
      </c>
      <c r="G123">
        <v>108</v>
      </c>
      <c r="H123">
        <v>7</v>
      </c>
      <c r="I123">
        <v>1919480</v>
      </c>
      <c r="L123" s="44"/>
    </row>
    <row r="124" spans="4:12" x14ac:dyDescent="0.25">
      <c r="D124">
        <v>1</v>
      </c>
      <c r="E124" s="11">
        <v>45509</v>
      </c>
      <c r="F124" t="s">
        <v>328</v>
      </c>
      <c r="G124">
        <v>108</v>
      </c>
      <c r="H124">
        <v>13</v>
      </c>
      <c r="I124">
        <v>1919480</v>
      </c>
      <c r="L124" s="44"/>
    </row>
    <row r="125" spans="4:12" x14ac:dyDescent="0.25">
      <c r="D125">
        <v>1</v>
      </c>
      <c r="E125" s="11">
        <v>45514</v>
      </c>
      <c r="F125" t="s">
        <v>330</v>
      </c>
      <c r="G125">
        <v>108</v>
      </c>
      <c r="H125">
        <v>63</v>
      </c>
      <c r="I125">
        <v>1919914</v>
      </c>
      <c r="L125" s="44"/>
    </row>
    <row r="126" spans="4:12" x14ac:dyDescent="0.25">
      <c r="D126">
        <v>1</v>
      </c>
      <c r="E126" s="11">
        <v>45513</v>
      </c>
      <c r="F126" t="s">
        <v>332</v>
      </c>
      <c r="G126">
        <v>82</v>
      </c>
      <c r="H126">
        <v>60</v>
      </c>
      <c r="I126">
        <v>1920183</v>
      </c>
      <c r="L126" s="44"/>
    </row>
    <row r="127" spans="4:12" x14ac:dyDescent="0.25">
      <c r="D127">
        <v>1</v>
      </c>
      <c r="E127" s="11">
        <v>45504</v>
      </c>
      <c r="F127" t="s">
        <v>335</v>
      </c>
      <c r="G127">
        <v>42</v>
      </c>
      <c r="H127">
        <v>112</v>
      </c>
      <c r="I127">
        <v>1920569</v>
      </c>
      <c r="L127" s="44"/>
    </row>
    <row r="128" spans="4:12" x14ac:dyDescent="0.25">
      <c r="D128">
        <v>1</v>
      </c>
      <c r="E128" s="11">
        <v>45509</v>
      </c>
      <c r="F128" t="s">
        <v>337</v>
      </c>
      <c r="G128">
        <v>77</v>
      </c>
      <c r="H128">
        <v>48</v>
      </c>
      <c r="I128">
        <v>1924429</v>
      </c>
      <c r="L128" s="44"/>
    </row>
    <row r="129" spans="4:12" x14ac:dyDescent="0.25">
      <c r="D129">
        <v>1</v>
      </c>
      <c r="E129" s="11">
        <v>45505</v>
      </c>
      <c r="F129" t="s">
        <v>340</v>
      </c>
      <c r="G129">
        <v>104</v>
      </c>
      <c r="H129">
        <v>173</v>
      </c>
      <c r="I129">
        <v>1925349</v>
      </c>
      <c r="L129" s="44"/>
    </row>
    <row r="130" spans="4:12" x14ac:dyDescent="0.25">
      <c r="D130">
        <v>1</v>
      </c>
      <c r="E130" s="11">
        <v>45501</v>
      </c>
      <c r="F130" t="s">
        <v>343</v>
      </c>
      <c r="G130">
        <v>104</v>
      </c>
      <c r="H130">
        <v>265</v>
      </c>
      <c r="I130">
        <v>1925633</v>
      </c>
      <c r="L130" s="44"/>
    </row>
    <row r="131" spans="4:12" x14ac:dyDescent="0.25">
      <c r="D131">
        <v>1</v>
      </c>
      <c r="E131" s="11">
        <v>45502</v>
      </c>
      <c r="F131" t="s">
        <v>346</v>
      </c>
      <c r="G131">
        <v>104</v>
      </c>
      <c r="H131">
        <v>263</v>
      </c>
      <c r="I131">
        <v>1925635</v>
      </c>
      <c r="L131" s="44"/>
    </row>
    <row r="132" spans="4:12" x14ac:dyDescent="0.25">
      <c r="D132">
        <v>1</v>
      </c>
      <c r="E132" s="11">
        <v>45510</v>
      </c>
      <c r="F132" t="s">
        <v>349</v>
      </c>
      <c r="G132">
        <v>31</v>
      </c>
      <c r="H132">
        <v>53</v>
      </c>
      <c r="I132">
        <v>1926102</v>
      </c>
      <c r="L132" s="44"/>
    </row>
    <row r="133" spans="4:12" x14ac:dyDescent="0.25">
      <c r="D133">
        <v>1</v>
      </c>
      <c r="E133" s="11">
        <v>45514</v>
      </c>
      <c r="F133" t="s">
        <v>352</v>
      </c>
      <c r="G133">
        <v>153</v>
      </c>
      <c r="H133">
        <v>33</v>
      </c>
      <c r="I133">
        <v>1926713</v>
      </c>
      <c r="L133" s="44"/>
    </row>
    <row r="134" spans="4:12" x14ac:dyDescent="0.25">
      <c r="D134">
        <v>1</v>
      </c>
      <c r="E134" s="11">
        <v>45514</v>
      </c>
      <c r="F134" t="s">
        <v>355</v>
      </c>
      <c r="G134">
        <v>42</v>
      </c>
      <c r="H134">
        <v>93</v>
      </c>
      <c r="I134">
        <v>1926826</v>
      </c>
      <c r="L134" s="44"/>
    </row>
    <row r="135" spans="4:12" x14ac:dyDescent="0.25">
      <c r="D135">
        <v>1</v>
      </c>
      <c r="E135" s="11">
        <v>45512</v>
      </c>
      <c r="F135" t="s">
        <v>357</v>
      </c>
      <c r="G135">
        <v>42</v>
      </c>
      <c r="H135">
        <v>89</v>
      </c>
      <c r="I135">
        <v>1926832</v>
      </c>
      <c r="L135" s="44"/>
    </row>
    <row r="136" spans="4:12" x14ac:dyDescent="0.25">
      <c r="D136">
        <v>1</v>
      </c>
      <c r="E136" s="11">
        <v>45513</v>
      </c>
      <c r="F136" t="s">
        <v>359</v>
      </c>
      <c r="G136">
        <v>42</v>
      </c>
      <c r="H136">
        <v>88</v>
      </c>
      <c r="I136">
        <v>1926833</v>
      </c>
      <c r="L136" s="44"/>
    </row>
    <row r="137" spans="4:12" x14ac:dyDescent="0.25">
      <c r="D137">
        <v>1</v>
      </c>
      <c r="E137" s="11">
        <v>45500</v>
      </c>
      <c r="F137" t="s">
        <v>361</v>
      </c>
      <c r="G137">
        <v>113</v>
      </c>
      <c r="H137">
        <v>153</v>
      </c>
      <c r="I137">
        <v>1927149</v>
      </c>
      <c r="L137" s="44"/>
    </row>
    <row r="138" spans="4:12" x14ac:dyDescent="0.25">
      <c r="D138">
        <v>1</v>
      </c>
      <c r="E138" s="11">
        <v>45507</v>
      </c>
      <c r="F138" t="s">
        <v>363</v>
      </c>
      <c r="G138">
        <v>102</v>
      </c>
      <c r="H138">
        <v>205</v>
      </c>
      <c r="I138">
        <v>1927680</v>
      </c>
      <c r="L138" s="44"/>
    </row>
    <row r="139" spans="4:12" x14ac:dyDescent="0.25">
      <c r="D139">
        <v>1</v>
      </c>
      <c r="E139" s="11">
        <v>45507</v>
      </c>
      <c r="F139" t="s">
        <v>366</v>
      </c>
      <c r="G139">
        <v>42</v>
      </c>
      <c r="H139">
        <v>289</v>
      </c>
      <c r="I139">
        <v>1927709</v>
      </c>
      <c r="L139" s="44"/>
    </row>
    <row r="140" spans="4:12" x14ac:dyDescent="0.25">
      <c r="D140">
        <v>1</v>
      </c>
      <c r="E140" s="11">
        <v>45505</v>
      </c>
      <c r="F140" t="s">
        <v>368</v>
      </c>
      <c r="G140">
        <v>61</v>
      </c>
      <c r="H140">
        <v>42</v>
      </c>
      <c r="I140">
        <v>1929767</v>
      </c>
      <c r="L140" s="44"/>
    </row>
    <row r="141" spans="4:12" x14ac:dyDescent="0.25">
      <c r="D141">
        <v>1</v>
      </c>
      <c r="E141" s="11">
        <v>45514</v>
      </c>
      <c r="F141" t="s">
        <v>371</v>
      </c>
      <c r="G141">
        <v>62</v>
      </c>
      <c r="H141">
        <v>186</v>
      </c>
      <c r="I141">
        <v>1932649</v>
      </c>
      <c r="L141" s="44"/>
    </row>
    <row r="142" spans="4:12" x14ac:dyDescent="0.25">
      <c r="D142">
        <v>1</v>
      </c>
      <c r="E142" s="11">
        <v>45500</v>
      </c>
      <c r="F142" t="s">
        <v>374</v>
      </c>
      <c r="G142">
        <v>109</v>
      </c>
      <c r="H142">
        <v>175</v>
      </c>
      <c r="I142">
        <v>1935408</v>
      </c>
      <c r="L142" s="44"/>
    </row>
    <row r="143" spans="4:12" x14ac:dyDescent="0.25">
      <c r="D143">
        <v>1</v>
      </c>
      <c r="E143" s="11">
        <v>45515</v>
      </c>
      <c r="F143" t="s">
        <v>377</v>
      </c>
      <c r="G143">
        <v>93</v>
      </c>
      <c r="H143">
        <v>185</v>
      </c>
      <c r="I143">
        <v>1936619</v>
      </c>
      <c r="L143" s="44"/>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7806E-7670-45B9-B7A4-82E8F0197F50}">
  <sheetPr>
    <tabColor theme="6"/>
  </sheetPr>
  <dimension ref="A1:O143"/>
  <sheetViews>
    <sheetView workbookViewId="0">
      <selection activeCell="L33" sqref="L33"/>
    </sheetView>
  </sheetViews>
  <sheetFormatPr baseColWidth="10" defaultColWidth="11.42578125" defaultRowHeight="15" x14ac:dyDescent="0.25"/>
  <cols>
    <col min="1" max="1" width="80.140625" style="20" customWidth="1"/>
    <col min="2" max="2" width="11.42578125" style="20"/>
    <col min="3" max="3" width="9.85546875" style="20" customWidth="1"/>
    <col min="4" max="4" width="11.85546875" bestFit="1" customWidth="1"/>
    <col min="5" max="5" width="13.85546875" bestFit="1" customWidth="1"/>
    <col min="6" max="6" width="34.28515625" bestFit="1" customWidth="1"/>
    <col min="7" max="7" width="6.85546875" bestFit="1" customWidth="1"/>
    <col min="8" max="8" width="11.5703125" bestFit="1" customWidth="1"/>
    <col min="9" max="9" width="9.5703125" bestFit="1" customWidth="1"/>
    <col min="10" max="10" width="11.42578125" style="36"/>
    <col min="11" max="11" width="13.140625" style="43" bestFit="1" customWidth="1"/>
    <col min="12" max="15" width="11.42578125" style="20"/>
  </cols>
  <sheetData>
    <row r="1" spans="1:13" s="21" customFormat="1" ht="73.5" customHeight="1" x14ac:dyDescent="0.25">
      <c r="A1" s="21" t="e" vm="1">
        <f>Variables!$A$1</f>
        <v>#VALUE!</v>
      </c>
      <c r="K1" s="41"/>
    </row>
    <row r="2" spans="1:13" s="37" customFormat="1" ht="8.1" customHeight="1" x14ac:dyDescent="0.25">
      <c r="K2" s="42"/>
    </row>
    <row r="3" spans="1:13" x14ac:dyDescent="0.25">
      <c r="D3" t="s">
        <v>0</v>
      </c>
      <c r="E3" t="s">
        <v>1</v>
      </c>
      <c r="F3" t="s">
        <v>2</v>
      </c>
      <c r="G3" t="s">
        <v>3</v>
      </c>
      <c r="H3" t="s">
        <v>5</v>
      </c>
      <c r="I3" t="s">
        <v>7</v>
      </c>
      <c r="L3" s="44"/>
    </row>
    <row r="4" spans="1:13" x14ac:dyDescent="0.25">
      <c r="D4">
        <v>1</v>
      </c>
      <c r="E4" s="11">
        <v>45503</v>
      </c>
      <c r="F4" t="s">
        <v>9</v>
      </c>
      <c r="G4">
        <v>99</v>
      </c>
      <c r="H4">
        <v>261</v>
      </c>
      <c r="I4">
        <v>1539969</v>
      </c>
      <c r="J4" s="36" t="str" cm="1">
        <f t="array" ref="J4">_xlfn.SWITCH(D4,1,"OR",2,"ARGENT",3,"BRONZE")</f>
        <v>OR</v>
      </c>
      <c r="L4" s="44"/>
      <c r="M4" s="44"/>
    </row>
    <row r="5" spans="1:13" x14ac:dyDescent="0.25">
      <c r="D5">
        <v>1</v>
      </c>
      <c r="E5" s="11">
        <v>45502</v>
      </c>
      <c r="F5" t="s">
        <v>13</v>
      </c>
      <c r="G5">
        <v>171</v>
      </c>
      <c r="H5">
        <v>259</v>
      </c>
      <c r="I5">
        <v>1543549</v>
      </c>
      <c r="J5" s="36" t="str" cm="1">
        <f t="array" ref="J5">_xlfn.SWITCH(D5,1,"OR",2,"ARGENT",3,"BRONZE")</f>
        <v>OR</v>
      </c>
      <c r="L5" s="44"/>
    </row>
    <row r="6" spans="1:13" x14ac:dyDescent="0.25">
      <c r="D6">
        <v>1</v>
      </c>
      <c r="E6" s="11">
        <v>45514</v>
      </c>
      <c r="F6" t="s">
        <v>17</v>
      </c>
      <c r="G6">
        <v>98</v>
      </c>
      <c r="H6">
        <v>283</v>
      </c>
      <c r="I6">
        <v>1536045</v>
      </c>
      <c r="J6" s="36" t="str" cm="1">
        <f t="array" ref="J6">_xlfn.SWITCH(D6,1,"OR",2,"ARGENT",3,"BRONZE")</f>
        <v>OR</v>
      </c>
      <c r="L6" s="44"/>
    </row>
    <row r="7" spans="1:13" x14ac:dyDescent="0.25">
      <c r="D7">
        <v>1</v>
      </c>
      <c r="E7" s="11">
        <v>45507</v>
      </c>
      <c r="F7" t="s">
        <v>21</v>
      </c>
      <c r="G7">
        <v>122</v>
      </c>
      <c r="H7">
        <v>45</v>
      </c>
      <c r="I7">
        <v>1537325</v>
      </c>
      <c r="J7" s="36" t="str" cm="1">
        <f t="array" ref="J7">_xlfn.SWITCH(D7,1,"OR",2,"ARGENT",3,"BRONZE")</f>
        <v>OR</v>
      </c>
      <c r="L7" s="44"/>
    </row>
    <row r="8" spans="1:13" x14ac:dyDescent="0.25">
      <c r="D8">
        <v>1</v>
      </c>
      <c r="E8" s="11">
        <v>45504</v>
      </c>
      <c r="F8" t="s">
        <v>25</v>
      </c>
      <c r="G8">
        <v>80</v>
      </c>
      <c r="H8">
        <v>179</v>
      </c>
      <c r="I8">
        <v>1548817</v>
      </c>
      <c r="J8" s="36" t="str" cm="1">
        <f t="array" ref="J8">_xlfn.SWITCH(D8,1,"OR",2,"ARGENT",3,"BRONZE")</f>
        <v>OR</v>
      </c>
      <c r="L8" s="44"/>
    </row>
    <row r="9" spans="1:13" x14ac:dyDescent="0.25">
      <c r="D9">
        <v>1</v>
      </c>
      <c r="E9" s="11">
        <v>45504</v>
      </c>
      <c r="F9" t="s">
        <v>28</v>
      </c>
      <c r="G9">
        <v>72</v>
      </c>
      <c r="H9">
        <v>295</v>
      </c>
      <c r="I9">
        <v>1543963</v>
      </c>
      <c r="J9" s="36" t="str" cm="1">
        <f t="array" ref="J9">_xlfn.SWITCH(D9,1,"OR",2,"ARGENT",3,"BRONZE")</f>
        <v>OR</v>
      </c>
      <c r="L9" s="44"/>
    </row>
    <row r="10" spans="1:13" x14ac:dyDescent="0.25">
      <c r="D10">
        <v>2</v>
      </c>
      <c r="E10" s="11">
        <v>45515</v>
      </c>
      <c r="F10" t="s">
        <v>32</v>
      </c>
      <c r="G10">
        <v>31</v>
      </c>
      <c r="H10">
        <v>328</v>
      </c>
      <c r="I10">
        <v>1540305</v>
      </c>
      <c r="J10" s="36" t="str" cm="1">
        <f t="array" ref="J10">_xlfn.SWITCH(D10,1,"OR",2,"ARGENT",3,"BRONZE")</f>
        <v>ARGENT</v>
      </c>
      <c r="L10" s="44"/>
    </row>
    <row r="11" spans="1:13" x14ac:dyDescent="0.25">
      <c r="D11">
        <v>1</v>
      </c>
      <c r="E11" s="11">
        <v>45513</v>
      </c>
      <c r="F11" t="s">
        <v>36</v>
      </c>
      <c r="G11">
        <v>5</v>
      </c>
      <c r="H11">
        <v>92</v>
      </c>
      <c r="I11">
        <v>1540353</v>
      </c>
      <c r="J11" s="36" t="str" cm="1">
        <f t="array" ref="J11">_xlfn.SWITCH(D11,1,"OR",2,"ARGENT",3,"BRONZE")</f>
        <v>OR</v>
      </c>
      <c r="L11" s="44"/>
    </row>
    <row r="12" spans="1:13" x14ac:dyDescent="0.25">
      <c r="D12">
        <v>2</v>
      </c>
      <c r="E12" s="11">
        <v>45508</v>
      </c>
      <c r="F12" t="s">
        <v>40</v>
      </c>
      <c r="G12">
        <v>5</v>
      </c>
      <c r="H12">
        <v>17</v>
      </c>
      <c r="J12" s="36" t="str" cm="1">
        <f t="array" ref="J12">_xlfn.SWITCH(D12,1,"OR",2,"ARGENT",3,"BRONZE")</f>
        <v>ARGENT</v>
      </c>
      <c r="L12" s="44"/>
    </row>
    <row r="13" spans="1:13" x14ac:dyDescent="0.25">
      <c r="D13">
        <v>1</v>
      </c>
      <c r="E13" s="11">
        <v>45509</v>
      </c>
      <c r="F13" t="s">
        <v>44</v>
      </c>
      <c r="G13">
        <v>104</v>
      </c>
      <c r="H13">
        <v>18</v>
      </c>
      <c r="I13">
        <v>1551061</v>
      </c>
      <c r="J13" s="36" t="str" cm="1">
        <f t="array" ref="J13">_xlfn.SWITCH(D13,1,"OR",2,"ARGENT",3,"BRONZE")</f>
        <v>OR</v>
      </c>
      <c r="L13" s="44"/>
    </row>
    <row r="14" spans="1:13" x14ac:dyDescent="0.25">
      <c r="D14">
        <v>2</v>
      </c>
      <c r="E14" s="11">
        <v>45513</v>
      </c>
      <c r="F14" t="s">
        <v>47</v>
      </c>
      <c r="G14">
        <v>77</v>
      </c>
      <c r="H14">
        <v>236</v>
      </c>
      <c r="I14">
        <v>1544218</v>
      </c>
      <c r="J14" s="36" t="str" cm="1">
        <f t="array" ref="J14">_xlfn.SWITCH(D14,1,"OR",2,"ARGENT",3,"BRONZE")</f>
        <v>ARGENT</v>
      </c>
      <c r="L14" s="44"/>
    </row>
    <row r="15" spans="1:13" x14ac:dyDescent="0.25">
      <c r="D15">
        <v>1</v>
      </c>
      <c r="E15" s="11">
        <v>45511</v>
      </c>
      <c r="F15" t="s">
        <v>51</v>
      </c>
      <c r="G15">
        <v>98</v>
      </c>
      <c r="H15">
        <v>316</v>
      </c>
      <c r="I15">
        <v>1544897</v>
      </c>
      <c r="J15" s="36" t="str" cm="1">
        <f t="array" ref="J15">_xlfn.SWITCH(D15,1,"OR",2,"ARGENT",3,"BRONZE")</f>
        <v>OR</v>
      </c>
      <c r="L15" s="44"/>
    </row>
    <row r="16" spans="1:13" x14ac:dyDescent="0.25">
      <c r="D16">
        <v>3</v>
      </c>
      <c r="E16" s="11">
        <v>45512</v>
      </c>
      <c r="F16" t="s">
        <v>55</v>
      </c>
      <c r="G16">
        <v>98</v>
      </c>
      <c r="H16">
        <v>313</v>
      </c>
      <c r="I16">
        <v>1544928</v>
      </c>
      <c r="J16" s="36" t="str" cm="1">
        <f t="array" ref="J16">_xlfn.SWITCH(D16,1,"OR",2,"ARGENT",3,"BRONZE")</f>
        <v>BRONZE</v>
      </c>
      <c r="L16" s="44"/>
    </row>
    <row r="17" spans="4:12" x14ac:dyDescent="0.25">
      <c r="D17">
        <v>1</v>
      </c>
      <c r="E17" s="11">
        <v>45514</v>
      </c>
      <c r="F17" t="s">
        <v>58</v>
      </c>
      <c r="G17">
        <v>80</v>
      </c>
      <c r="H17">
        <v>311</v>
      </c>
      <c r="I17">
        <v>1551443</v>
      </c>
      <c r="J17" s="36" t="str" cm="1">
        <f t="array" ref="J17">_xlfn.SWITCH(D17,1,"OR",2,"ARGENT",3,"BRONZE")</f>
        <v>OR</v>
      </c>
      <c r="L17" s="44"/>
    </row>
    <row r="18" spans="4:12" x14ac:dyDescent="0.25">
      <c r="D18">
        <v>3</v>
      </c>
      <c r="E18" s="11">
        <v>45514</v>
      </c>
      <c r="F18" t="s">
        <v>61</v>
      </c>
      <c r="G18">
        <v>80</v>
      </c>
      <c r="H18">
        <v>329</v>
      </c>
      <c r="J18" s="36" t="str" cm="1">
        <f t="array" ref="J18">_xlfn.SWITCH(D18,1,"OR",2,"ARGENT",3,"BRONZE")</f>
        <v>BRONZE</v>
      </c>
      <c r="L18" s="44"/>
    </row>
    <row r="19" spans="4:12" x14ac:dyDescent="0.25">
      <c r="D19">
        <v>1</v>
      </c>
      <c r="E19" s="11">
        <v>45510</v>
      </c>
      <c r="F19" t="s">
        <v>65</v>
      </c>
      <c r="G19">
        <v>99</v>
      </c>
      <c r="H19">
        <v>91</v>
      </c>
      <c r="I19">
        <v>1555098</v>
      </c>
      <c r="J19" s="36" t="str" cm="1">
        <f t="array" ref="J19">_xlfn.SWITCH(D19,1,"OR",2,"ARGENT",3,"BRONZE")</f>
        <v>OR</v>
      </c>
      <c r="L19" s="44"/>
    </row>
    <row r="20" spans="4:12" x14ac:dyDescent="0.25">
      <c r="D20">
        <v>1</v>
      </c>
      <c r="E20" s="11">
        <v>45511</v>
      </c>
      <c r="F20" t="s">
        <v>68</v>
      </c>
      <c r="G20">
        <v>128</v>
      </c>
      <c r="H20">
        <v>30</v>
      </c>
      <c r="I20">
        <v>1555372</v>
      </c>
      <c r="J20" s="36" t="str" cm="1">
        <f t="array" ref="J20">_xlfn.SWITCH(D20,1,"OR",2,"ARGENT",3,"BRONZE")</f>
        <v>OR</v>
      </c>
      <c r="L20" s="44"/>
    </row>
    <row r="21" spans="4:12" x14ac:dyDescent="0.25">
      <c r="D21">
        <v>3</v>
      </c>
      <c r="E21" s="11">
        <v>45511</v>
      </c>
      <c r="F21" t="s">
        <v>71</v>
      </c>
      <c r="G21">
        <v>54</v>
      </c>
      <c r="H21">
        <v>83</v>
      </c>
      <c r="I21">
        <v>1555537</v>
      </c>
      <c r="J21" s="36" t="str" cm="1">
        <f t="array" ref="J21">_xlfn.SWITCH(D21,1,"OR",2,"ARGENT",3,"BRONZE")</f>
        <v>BRONZE</v>
      </c>
      <c r="L21" s="44"/>
    </row>
    <row r="22" spans="4:12" x14ac:dyDescent="0.25">
      <c r="D22">
        <v>1</v>
      </c>
      <c r="E22" s="11">
        <v>45512</v>
      </c>
      <c r="F22" t="s">
        <v>74</v>
      </c>
      <c r="G22">
        <v>216</v>
      </c>
      <c r="H22">
        <v>81</v>
      </c>
      <c r="I22">
        <v>1556045</v>
      </c>
      <c r="J22" s="36" t="str" cm="1">
        <f t="array" ref="J22">_xlfn.SWITCH(D22,1,"OR",2,"ARGENT",3,"BRONZE")</f>
        <v>OR</v>
      </c>
      <c r="L22" s="44"/>
    </row>
    <row r="23" spans="4:12" x14ac:dyDescent="0.25">
      <c r="D23">
        <v>1</v>
      </c>
      <c r="E23" s="11">
        <v>45514</v>
      </c>
      <c r="F23" t="s">
        <v>77</v>
      </c>
      <c r="G23">
        <v>216</v>
      </c>
      <c r="H23">
        <v>82</v>
      </c>
      <c r="I23">
        <v>1556049</v>
      </c>
      <c r="J23" s="36" t="str" cm="1">
        <f t="array" ref="J23">_xlfn.SWITCH(D23,1,"OR",2,"ARGENT",3,"BRONZE")</f>
        <v>OR</v>
      </c>
      <c r="L23" s="44"/>
    </row>
    <row r="24" spans="4:12" x14ac:dyDescent="0.25">
      <c r="D24">
        <v>3</v>
      </c>
      <c r="E24" s="11">
        <v>45513</v>
      </c>
      <c r="F24" t="s">
        <v>80</v>
      </c>
      <c r="G24">
        <v>216</v>
      </c>
      <c r="H24">
        <v>84</v>
      </c>
      <c r="I24">
        <v>1556797</v>
      </c>
      <c r="J24" s="36" t="str" cm="1">
        <f t="array" ref="J24">_xlfn.SWITCH(D24,1,"OR",2,"ARGENT",3,"BRONZE")</f>
        <v>BRONZE</v>
      </c>
      <c r="L24" s="44"/>
    </row>
    <row r="25" spans="4:12" x14ac:dyDescent="0.25">
      <c r="D25">
        <v>1</v>
      </c>
      <c r="E25" s="11">
        <v>45513</v>
      </c>
      <c r="F25" t="s">
        <v>83</v>
      </c>
      <c r="G25">
        <v>216</v>
      </c>
      <c r="H25">
        <v>86</v>
      </c>
      <c r="I25">
        <v>1556860</v>
      </c>
      <c r="J25" s="36" t="str" cm="1">
        <f t="array" ref="J25">_xlfn.SWITCH(D25,1,"OR",2,"ARGENT",3,"BRONZE")</f>
        <v>OR</v>
      </c>
      <c r="L25" s="44"/>
    </row>
    <row r="26" spans="4:12" x14ac:dyDescent="0.25">
      <c r="D26">
        <v>3</v>
      </c>
      <c r="E26" s="11">
        <v>45514</v>
      </c>
      <c r="F26" t="s">
        <v>86</v>
      </c>
      <c r="G26">
        <v>216</v>
      </c>
      <c r="H26">
        <v>87</v>
      </c>
      <c r="I26">
        <v>1556869</v>
      </c>
      <c r="J26" s="36" t="str" cm="1">
        <f t="array" ref="J26">_xlfn.SWITCH(D26,1,"OR",2,"ARGENT",3,"BRONZE")</f>
        <v>BRONZE</v>
      </c>
      <c r="L26" s="44"/>
    </row>
    <row r="27" spans="4:12" x14ac:dyDescent="0.25">
      <c r="D27">
        <v>3</v>
      </c>
      <c r="E27" s="11">
        <v>45513</v>
      </c>
      <c r="F27" t="s">
        <v>89</v>
      </c>
      <c r="G27">
        <v>33</v>
      </c>
      <c r="H27">
        <v>327</v>
      </c>
      <c r="I27">
        <v>1556873</v>
      </c>
      <c r="J27" s="36" t="str" cm="1">
        <f t="array" ref="J27">_xlfn.SWITCH(D27,1,"OR",2,"ARGENT",3,"BRONZE")</f>
        <v>BRONZE</v>
      </c>
      <c r="L27" s="44"/>
    </row>
    <row r="28" spans="4:12" x14ac:dyDescent="0.25">
      <c r="D28">
        <v>3</v>
      </c>
      <c r="E28" s="11">
        <v>45512</v>
      </c>
      <c r="F28" t="s">
        <v>92</v>
      </c>
      <c r="G28">
        <v>33</v>
      </c>
      <c r="H28">
        <v>315</v>
      </c>
      <c r="I28">
        <v>1559471</v>
      </c>
      <c r="J28" s="36" t="str" cm="1">
        <f t="array" ref="J28">_xlfn.SWITCH(D28,1,"OR",2,"ARGENT",3,"BRONZE")</f>
        <v>BRONZE</v>
      </c>
      <c r="L28" s="44"/>
    </row>
    <row r="29" spans="4:12" x14ac:dyDescent="0.25">
      <c r="D29">
        <v>3</v>
      </c>
      <c r="E29" s="11">
        <v>45514</v>
      </c>
      <c r="F29" t="s">
        <v>95</v>
      </c>
      <c r="G29">
        <v>216</v>
      </c>
      <c r="H29">
        <v>326</v>
      </c>
      <c r="I29">
        <v>1562164</v>
      </c>
      <c r="J29" s="36" t="str" cm="1">
        <f t="array" ref="J29">_xlfn.SWITCH(D29,1,"OR",2,"ARGENT",3,"BRONZE")</f>
        <v>BRONZE</v>
      </c>
      <c r="L29" s="44"/>
    </row>
    <row r="30" spans="4:12" x14ac:dyDescent="0.25">
      <c r="D30">
        <v>1</v>
      </c>
      <c r="E30" s="11">
        <v>45511</v>
      </c>
      <c r="F30" t="s">
        <v>98</v>
      </c>
      <c r="G30">
        <v>164</v>
      </c>
      <c r="H30">
        <v>235</v>
      </c>
      <c r="I30">
        <v>1563327</v>
      </c>
      <c r="J30" s="36" t="str" cm="1">
        <f t="array" ref="J30">_xlfn.SWITCH(D30,1,"OR",2,"ARGENT",3,"BRONZE")</f>
        <v>OR</v>
      </c>
      <c r="L30" s="44"/>
    </row>
    <row r="31" spans="4:12" x14ac:dyDescent="0.25">
      <c r="D31">
        <v>2</v>
      </c>
      <c r="E31" s="11">
        <v>45511</v>
      </c>
      <c r="F31" t="s">
        <v>101</v>
      </c>
      <c r="G31">
        <v>212</v>
      </c>
      <c r="H31">
        <v>85</v>
      </c>
      <c r="J31" s="36" t="str" cm="1">
        <f t="array" ref="J31">_xlfn.SWITCH(D31,1,"OR",2,"ARGENT",3,"BRONZE")</f>
        <v>ARGENT</v>
      </c>
      <c r="L31" s="44"/>
    </row>
    <row r="32" spans="4:12" x14ac:dyDescent="0.25">
      <c r="D32">
        <v>1</v>
      </c>
      <c r="E32" s="11">
        <v>45513</v>
      </c>
      <c r="F32" t="s">
        <v>104</v>
      </c>
      <c r="G32">
        <v>14</v>
      </c>
      <c r="H32">
        <v>206</v>
      </c>
      <c r="I32">
        <v>1566437</v>
      </c>
      <c r="J32" s="36" t="str" cm="1">
        <f t="array" ref="J32">_xlfn.SWITCH(D32,1,"OR",2,"ARGENT",3,"BRONZE")</f>
        <v>OR</v>
      </c>
      <c r="L32" s="44"/>
    </row>
    <row r="33" spans="4:12" x14ac:dyDescent="0.25">
      <c r="D33">
        <v>1</v>
      </c>
      <c r="E33" s="11">
        <v>45501</v>
      </c>
      <c r="F33" t="s">
        <v>108</v>
      </c>
      <c r="G33">
        <v>216</v>
      </c>
      <c r="H33">
        <v>169</v>
      </c>
      <c r="I33">
        <v>1566997</v>
      </c>
      <c r="J33" s="36" t="str" cm="1">
        <f t="array" ref="J33">_xlfn.SWITCH(D33,1,"OR",2,"ARGENT",3,"BRONZE")</f>
        <v>OR</v>
      </c>
      <c r="L33" s="44"/>
    </row>
    <row r="34" spans="4:12" x14ac:dyDescent="0.25">
      <c r="D34">
        <v>1</v>
      </c>
      <c r="E34" s="11">
        <v>45509</v>
      </c>
      <c r="F34" t="s">
        <v>111</v>
      </c>
      <c r="G34">
        <v>72</v>
      </c>
      <c r="H34">
        <v>238</v>
      </c>
      <c r="I34">
        <v>1567361</v>
      </c>
      <c r="J34" s="36" t="str" cm="1">
        <f t="array" ref="J34">_xlfn.SWITCH(D34,1,"OR",2,"ARGENT",3,"BRONZE")</f>
        <v>OR</v>
      </c>
      <c r="L34" s="44"/>
    </row>
    <row r="35" spans="4:12" x14ac:dyDescent="0.25">
      <c r="D35">
        <v>2</v>
      </c>
      <c r="E35" s="11">
        <v>45509</v>
      </c>
      <c r="F35" t="s">
        <v>114</v>
      </c>
      <c r="G35">
        <v>194</v>
      </c>
      <c r="H35">
        <v>34</v>
      </c>
      <c r="I35">
        <v>1569203</v>
      </c>
      <c r="J35" s="36" t="str" cm="1">
        <f t="array" ref="J35">_xlfn.SWITCH(D35,1,"OR",2,"ARGENT",3,"BRONZE")</f>
        <v>ARGENT</v>
      </c>
      <c r="L35" s="44"/>
    </row>
    <row r="36" spans="4:12" x14ac:dyDescent="0.25">
      <c r="D36">
        <v>3</v>
      </c>
      <c r="E36" s="11">
        <v>45510</v>
      </c>
      <c r="F36" t="s">
        <v>117</v>
      </c>
      <c r="G36">
        <v>54</v>
      </c>
      <c r="H36">
        <v>317</v>
      </c>
      <c r="I36">
        <v>1571506</v>
      </c>
      <c r="J36" s="36" t="str" cm="1">
        <f t="array" ref="J36">_xlfn.SWITCH(D36,1,"OR",2,"ARGENT",3,"BRONZE")</f>
        <v>BRONZE</v>
      </c>
      <c r="L36" s="44"/>
    </row>
    <row r="37" spans="4:12" x14ac:dyDescent="0.25">
      <c r="D37">
        <v>3</v>
      </c>
      <c r="E37" s="11">
        <v>45508</v>
      </c>
      <c r="F37" t="s">
        <v>120</v>
      </c>
      <c r="G37">
        <v>212</v>
      </c>
      <c r="H37">
        <v>56</v>
      </c>
      <c r="I37">
        <v>1571559</v>
      </c>
      <c r="J37" s="36" t="str" cm="1">
        <f t="array" ref="J37">_xlfn.SWITCH(D37,1,"OR",2,"ARGENT",3,"BRONZE")</f>
        <v>BRONZE</v>
      </c>
      <c r="L37" s="44"/>
    </row>
    <row r="38" spans="4:12" x14ac:dyDescent="0.25">
      <c r="D38">
        <v>3</v>
      </c>
      <c r="E38" s="11">
        <v>45513</v>
      </c>
      <c r="F38" t="s">
        <v>123</v>
      </c>
      <c r="G38">
        <v>93</v>
      </c>
      <c r="H38">
        <v>286</v>
      </c>
      <c r="I38">
        <v>1572318</v>
      </c>
      <c r="J38" s="36" t="str" cm="1">
        <f t="array" ref="J38">_xlfn.SWITCH(D38,1,"OR",2,"ARGENT",3,"BRONZE")</f>
        <v>BRONZE</v>
      </c>
      <c r="L38" s="44"/>
    </row>
    <row r="39" spans="4:12" x14ac:dyDescent="0.25">
      <c r="D39">
        <v>2</v>
      </c>
      <c r="E39" s="11">
        <v>45504</v>
      </c>
      <c r="F39" t="s">
        <v>126</v>
      </c>
      <c r="G39">
        <v>194</v>
      </c>
      <c r="H39">
        <v>241</v>
      </c>
      <c r="J39" s="36" t="str" cm="1">
        <f t="array" ref="J39">_xlfn.SWITCH(D39,1,"OR",2,"ARGENT",3,"BRONZE")</f>
        <v>ARGENT</v>
      </c>
      <c r="L39" s="44"/>
    </row>
    <row r="40" spans="4:12" x14ac:dyDescent="0.25">
      <c r="D40">
        <v>2</v>
      </c>
      <c r="E40" s="11">
        <v>45508</v>
      </c>
      <c r="F40" t="s">
        <v>126</v>
      </c>
      <c r="G40">
        <v>194</v>
      </c>
      <c r="H40">
        <v>240</v>
      </c>
      <c r="I40">
        <v>1572557</v>
      </c>
      <c r="J40" s="36" t="str" cm="1">
        <f t="array" ref="J40">_xlfn.SWITCH(D40,1,"OR",2,"ARGENT",3,"BRONZE")</f>
        <v>ARGENT</v>
      </c>
      <c r="L40" s="44"/>
    </row>
    <row r="41" spans="4:12" x14ac:dyDescent="0.25">
      <c r="D41">
        <v>1</v>
      </c>
      <c r="E41" s="11">
        <v>45507</v>
      </c>
      <c r="F41" t="s">
        <v>129</v>
      </c>
      <c r="G41">
        <v>151</v>
      </c>
      <c r="H41">
        <v>41</v>
      </c>
      <c r="I41">
        <v>1878353</v>
      </c>
      <c r="J41" s="36" t="str" cm="1">
        <f t="array" ref="J41">_xlfn.SWITCH(D41,1,"OR",2,"ARGENT",3,"BRONZE")</f>
        <v>OR</v>
      </c>
      <c r="L41" s="44"/>
    </row>
    <row r="42" spans="4:12" x14ac:dyDescent="0.25">
      <c r="D42">
        <v>1</v>
      </c>
      <c r="E42" s="11">
        <v>45512</v>
      </c>
      <c r="F42" t="s">
        <v>132</v>
      </c>
      <c r="G42">
        <v>156</v>
      </c>
      <c r="H42">
        <v>40</v>
      </c>
      <c r="I42">
        <v>1878563</v>
      </c>
      <c r="J42" s="36" t="str" cm="1">
        <f t="array" ref="J42">_xlfn.SWITCH(D42,1,"OR",2,"ARGENT",3,"BRONZE")</f>
        <v>OR</v>
      </c>
      <c r="L42" s="44"/>
    </row>
    <row r="43" spans="4:12" x14ac:dyDescent="0.25">
      <c r="D43">
        <v>1</v>
      </c>
      <c r="E43" s="11">
        <v>45514</v>
      </c>
      <c r="F43" t="s">
        <v>135</v>
      </c>
      <c r="G43">
        <v>151</v>
      </c>
      <c r="H43">
        <v>305</v>
      </c>
      <c r="I43">
        <v>1878625</v>
      </c>
      <c r="J43" s="36" t="str" cm="1">
        <f t="array" ref="J43">_xlfn.SWITCH(D43,1,"OR",2,"ARGENT",3,"BRONZE")</f>
        <v>OR</v>
      </c>
      <c r="L43" s="44"/>
    </row>
    <row r="44" spans="4:12" x14ac:dyDescent="0.25">
      <c r="D44">
        <v>3</v>
      </c>
      <c r="E44" s="11">
        <v>45514</v>
      </c>
      <c r="F44" t="s">
        <v>138</v>
      </c>
      <c r="G44">
        <v>56</v>
      </c>
      <c r="H44">
        <v>102</v>
      </c>
      <c r="I44">
        <v>1878715</v>
      </c>
      <c r="J44" s="36" t="str" cm="1">
        <f t="array" ref="J44">_xlfn.SWITCH(D44,1,"OR",2,"ARGENT",3,"BRONZE")</f>
        <v>BRONZE</v>
      </c>
      <c r="L44" s="44"/>
    </row>
    <row r="45" spans="4:12" x14ac:dyDescent="0.25">
      <c r="D45">
        <v>3</v>
      </c>
      <c r="E45" s="11">
        <v>45513</v>
      </c>
      <c r="F45" t="s">
        <v>141</v>
      </c>
      <c r="G45">
        <v>56</v>
      </c>
      <c r="H45">
        <v>105</v>
      </c>
      <c r="I45">
        <v>1878716</v>
      </c>
      <c r="J45" s="36" t="str" cm="1">
        <f t="array" ref="J45">_xlfn.SWITCH(D45,1,"OR",2,"ARGENT",3,"BRONZE")</f>
        <v>BRONZE</v>
      </c>
      <c r="L45" s="44"/>
    </row>
    <row r="46" spans="4:12" x14ac:dyDescent="0.25">
      <c r="D46">
        <v>3</v>
      </c>
      <c r="E46" s="11">
        <v>45502</v>
      </c>
      <c r="F46" t="s">
        <v>144</v>
      </c>
      <c r="G46">
        <v>72</v>
      </c>
      <c r="H46">
        <v>98</v>
      </c>
      <c r="I46">
        <v>1880479</v>
      </c>
      <c r="J46" s="36" t="str" cm="1">
        <f t="array" ref="J46">_xlfn.SWITCH(D46,1,"OR",2,"ARGENT",3,"BRONZE")</f>
        <v>BRONZE</v>
      </c>
      <c r="L46" s="44"/>
    </row>
    <row r="47" spans="4:12" x14ac:dyDescent="0.25">
      <c r="D47">
        <v>2</v>
      </c>
      <c r="E47" s="11">
        <v>45512</v>
      </c>
      <c r="F47" t="s">
        <v>147</v>
      </c>
      <c r="G47">
        <v>216</v>
      </c>
      <c r="H47">
        <v>281</v>
      </c>
      <c r="I47">
        <v>1887714</v>
      </c>
      <c r="J47" s="36" t="str" cm="1">
        <f t="array" ref="J47">_xlfn.SWITCH(D47,1,"OR",2,"ARGENT",3,"BRONZE")</f>
        <v>ARGENT</v>
      </c>
      <c r="L47" s="44"/>
    </row>
    <row r="48" spans="4:12" x14ac:dyDescent="0.25">
      <c r="D48">
        <v>3</v>
      </c>
      <c r="E48" s="11">
        <v>45514</v>
      </c>
      <c r="F48" t="s">
        <v>150</v>
      </c>
      <c r="G48">
        <v>205</v>
      </c>
      <c r="H48">
        <v>90</v>
      </c>
      <c r="I48">
        <v>1887963</v>
      </c>
      <c r="J48" s="36" t="str" cm="1">
        <f t="array" ref="J48">_xlfn.SWITCH(D48,1,"OR",2,"ARGENT",3,"BRONZE")</f>
        <v>BRONZE</v>
      </c>
      <c r="L48" s="44"/>
    </row>
    <row r="49" spans="4:12" x14ac:dyDescent="0.25">
      <c r="D49">
        <v>1</v>
      </c>
      <c r="E49" s="11">
        <v>45509</v>
      </c>
      <c r="F49" t="s">
        <v>152</v>
      </c>
      <c r="G49">
        <v>57</v>
      </c>
      <c r="H49">
        <v>70</v>
      </c>
      <c r="I49">
        <v>1888993</v>
      </c>
      <c r="J49" s="36" t="str" cm="1">
        <f t="array" ref="J49">_xlfn.SWITCH(D49,1,"OR",2,"ARGENT",3,"BRONZE")</f>
        <v>OR</v>
      </c>
      <c r="L49" s="44"/>
    </row>
    <row r="50" spans="4:12" x14ac:dyDescent="0.25">
      <c r="D50">
        <v>1</v>
      </c>
      <c r="E50" s="11">
        <v>45871</v>
      </c>
      <c r="F50" t="s">
        <v>156</v>
      </c>
      <c r="G50">
        <v>72</v>
      </c>
      <c r="H50">
        <v>181</v>
      </c>
      <c r="I50">
        <v>1891323</v>
      </c>
      <c r="J50" s="36" t="str" cm="1">
        <f t="array" ref="J50">_xlfn.SWITCH(D50,1,"OR",2,"ARGENT",3,"BRONZE")</f>
        <v>OR</v>
      </c>
      <c r="L50" s="44"/>
    </row>
    <row r="51" spans="4:12" x14ac:dyDescent="0.25">
      <c r="D51">
        <v>2</v>
      </c>
      <c r="E51" s="11">
        <v>45509</v>
      </c>
      <c r="F51" t="s">
        <v>159</v>
      </c>
      <c r="G51">
        <v>113</v>
      </c>
      <c r="H51">
        <v>71</v>
      </c>
      <c r="I51">
        <v>1891498</v>
      </c>
      <c r="J51" s="36" t="str" cm="1">
        <f t="array" ref="J51">_xlfn.SWITCH(D51,1,"OR",2,"ARGENT",3,"BRONZE")</f>
        <v>ARGENT</v>
      </c>
      <c r="L51" s="44"/>
    </row>
    <row r="52" spans="4:12" x14ac:dyDescent="0.25">
      <c r="D52">
        <v>1</v>
      </c>
      <c r="E52" s="11">
        <v>45514</v>
      </c>
      <c r="F52" t="s">
        <v>161</v>
      </c>
      <c r="G52">
        <v>72</v>
      </c>
      <c r="H52">
        <v>287</v>
      </c>
      <c r="I52">
        <v>1893272</v>
      </c>
      <c r="J52" s="36" t="str" cm="1">
        <f t="array" ref="J52">_xlfn.SWITCH(D52,1,"OR",2,"ARGENT",3,"BRONZE")</f>
        <v>OR</v>
      </c>
      <c r="L52" s="44"/>
    </row>
    <row r="53" spans="4:12" x14ac:dyDescent="0.25">
      <c r="D53">
        <v>3</v>
      </c>
      <c r="E53" s="11">
        <v>45502</v>
      </c>
      <c r="F53" t="s">
        <v>164</v>
      </c>
      <c r="G53">
        <v>113</v>
      </c>
      <c r="H53">
        <v>221</v>
      </c>
      <c r="I53">
        <v>1893845</v>
      </c>
      <c r="J53" s="36" t="str" cm="1">
        <f t="array" ref="J53">_xlfn.SWITCH(D53,1,"OR",2,"ARGENT",3,"BRONZE")</f>
        <v>BRONZE</v>
      </c>
      <c r="L53" s="44"/>
    </row>
    <row r="54" spans="4:12" x14ac:dyDescent="0.25">
      <c r="D54">
        <v>1</v>
      </c>
      <c r="E54" s="11">
        <v>45501</v>
      </c>
      <c r="F54" t="s">
        <v>166</v>
      </c>
      <c r="G54">
        <v>113</v>
      </c>
      <c r="H54">
        <v>223</v>
      </c>
      <c r="I54">
        <v>1893972</v>
      </c>
      <c r="J54" s="36" t="str" cm="1">
        <f t="array" ref="J54">_xlfn.SWITCH(D54,1,"OR",2,"ARGENT",3,"BRONZE")</f>
        <v>OR</v>
      </c>
      <c r="L54" s="44"/>
    </row>
    <row r="55" spans="4:12" x14ac:dyDescent="0.25">
      <c r="D55">
        <v>1</v>
      </c>
      <c r="E55" s="11">
        <v>45507</v>
      </c>
      <c r="F55" t="s">
        <v>168</v>
      </c>
      <c r="G55">
        <v>113</v>
      </c>
      <c r="H55">
        <v>224</v>
      </c>
      <c r="I55">
        <v>1893995</v>
      </c>
      <c r="J55" s="36" t="str" cm="1">
        <f t="array" ref="J55">_xlfn.SWITCH(D55,1,"OR",2,"ARGENT",3,"BRONZE")</f>
        <v>OR</v>
      </c>
      <c r="L55" s="44"/>
    </row>
    <row r="56" spans="4:12" x14ac:dyDescent="0.25">
      <c r="D56">
        <v>1</v>
      </c>
      <c r="E56" s="11">
        <v>45506</v>
      </c>
      <c r="F56" t="s">
        <v>170</v>
      </c>
      <c r="G56">
        <v>72</v>
      </c>
      <c r="H56">
        <v>115</v>
      </c>
      <c r="I56">
        <v>1895661</v>
      </c>
      <c r="J56" s="36" t="str" cm="1">
        <f t="array" ref="J56">_xlfn.SWITCH(D56,1,"OR",2,"ARGENT",3,"BRONZE")</f>
        <v>OR</v>
      </c>
      <c r="L56" s="44"/>
    </row>
    <row r="57" spans="4:12" x14ac:dyDescent="0.25">
      <c r="D57">
        <v>1</v>
      </c>
      <c r="E57" s="11">
        <v>45501</v>
      </c>
      <c r="F57" t="s">
        <v>173</v>
      </c>
      <c r="G57">
        <v>72</v>
      </c>
      <c r="H57">
        <v>117</v>
      </c>
      <c r="I57">
        <v>1895672</v>
      </c>
      <c r="J57" s="36" t="str" cm="1">
        <f t="array" ref="J57">_xlfn.SWITCH(D57,1,"OR",2,"ARGENT",3,"BRONZE")</f>
        <v>OR</v>
      </c>
      <c r="L57" s="44"/>
    </row>
    <row r="58" spans="4:12" x14ac:dyDescent="0.25">
      <c r="D58">
        <v>3</v>
      </c>
      <c r="E58" s="11">
        <v>45512</v>
      </c>
      <c r="F58" t="s">
        <v>176</v>
      </c>
      <c r="G58">
        <v>72</v>
      </c>
      <c r="H58">
        <v>126</v>
      </c>
      <c r="I58">
        <v>1895717</v>
      </c>
      <c r="J58" s="36" t="str" cm="1">
        <f t="array" ref="J58">_xlfn.SWITCH(D58,1,"OR",2,"ARGENT",3,"BRONZE")</f>
        <v>BRONZE</v>
      </c>
      <c r="L58" s="44"/>
    </row>
    <row r="59" spans="4:12" x14ac:dyDescent="0.25">
      <c r="D59">
        <v>2</v>
      </c>
      <c r="E59" s="11">
        <v>45513</v>
      </c>
      <c r="F59" t="s">
        <v>179</v>
      </c>
      <c r="G59">
        <v>82</v>
      </c>
      <c r="H59">
        <v>187</v>
      </c>
      <c r="I59">
        <v>1896230</v>
      </c>
      <c r="J59" s="36" t="str" cm="1">
        <f t="array" ref="J59">_xlfn.SWITCH(D59,1,"OR",2,"ARGENT",3,"BRONZE")</f>
        <v>ARGENT</v>
      </c>
      <c r="L59" s="44"/>
    </row>
    <row r="60" spans="4:12" x14ac:dyDescent="0.25">
      <c r="D60">
        <v>1</v>
      </c>
      <c r="E60" s="11">
        <v>45501</v>
      </c>
      <c r="F60" t="s">
        <v>181</v>
      </c>
      <c r="G60">
        <v>108</v>
      </c>
      <c r="H60">
        <v>151</v>
      </c>
      <c r="I60">
        <v>1896548</v>
      </c>
      <c r="J60" s="36" t="str" cm="1">
        <f t="array" ref="J60">_xlfn.SWITCH(D60,1,"OR",2,"ARGENT",3,"BRONZE")</f>
        <v>OR</v>
      </c>
      <c r="L60" s="44"/>
    </row>
    <row r="61" spans="4:12" x14ac:dyDescent="0.25">
      <c r="D61">
        <v>1</v>
      </c>
      <c r="E61" s="11">
        <v>45500</v>
      </c>
      <c r="F61" t="s">
        <v>184</v>
      </c>
      <c r="G61">
        <v>108</v>
      </c>
      <c r="H61">
        <v>168</v>
      </c>
      <c r="I61">
        <v>1896735</v>
      </c>
      <c r="J61" s="36" t="str" cm="1">
        <f t="array" ref="J61">_xlfn.SWITCH(D61,1,"OR",2,"ARGENT",3,"BRONZE")</f>
        <v>OR</v>
      </c>
      <c r="L61" s="44"/>
    </row>
    <row r="62" spans="4:12" x14ac:dyDescent="0.25">
      <c r="D62">
        <v>1</v>
      </c>
      <c r="E62" s="11">
        <v>45501</v>
      </c>
      <c r="F62" t="s">
        <v>186</v>
      </c>
      <c r="G62">
        <v>108</v>
      </c>
      <c r="H62">
        <v>176</v>
      </c>
      <c r="I62">
        <v>1896763</v>
      </c>
      <c r="J62" s="36" t="str" cm="1">
        <f t="array" ref="J62">_xlfn.SWITCH(D62,1,"OR",2,"ARGENT",3,"BRONZE")</f>
        <v>OR</v>
      </c>
      <c r="L62" s="44"/>
    </row>
    <row r="63" spans="4:12" x14ac:dyDescent="0.25">
      <c r="D63">
        <v>2</v>
      </c>
      <c r="E63" s="11">
        <v>45503</v>
      </c>
      <c r="F63" t="s">
        <v>188</v>
      </c>
      <c r="G63">
        <v>108</v>
      </c>
      <c r="H63">
        <v>178</v>
      </c>
      <c r="I63">
        <v>1896765</v>
      </c>
      <c r="J63" s="36" t="str" cm="1">
        <f t="array" ref="J63">_xlfn.SWITCH(D63,1,"OR",2,"ARGENT",3,"BRONZE")</f>
        <v>ARGENT</v>
      </c>
      <c r="L63" s="44"/>
    </row>
    <row r="64" spans="4:12" x14ac:dyDescent="0.25">
      <c r="D64">
        <v>1</v>
      </c>
      <c r="E64" s="11">
        <v>45514</v>
      </c>
      <c r="F64" t="s">
        <v>190</v>
      </c>
      <c r="G64">
        <v>151</v>
      </c>
      <c r="H64">
        <v>27</v>
      </c>
      <c r="I64">
        <v>1898250</v>
      </c>
      <c r="J64" s="36" t="str" cm="1">
        <f t="array" ref="J64">_xlfn.SWITCH(D64,1,"OR",2,"ARGENT",3,"BRONZE")</f>
        <v>OR</v>
      </c>
      <c r="L64" s="44"/>
    </row>
    <row r="65" spans="4:12" x14ac:dyDescent="0.25">
      <c r="D65">
        <v>2</v>
      </c>
      <c r="E65" s="11">
        <v>45504</v>
      </c>
      <c r="F65" t="s">
        <v>193</v>
      </c>
      <c r="G65">
        <v>53</v>
      </c>
      <c r="H65">
        <v>172</v>
      </c>
      <c r="I65">
        <v>1898499</v>
      </c>
      <c r="J65" s="36" t="str" cm="1">
        <f t="array" ref="J65">_xlfn.SWITCH(D65,1,"OR",2,"ARGENT",3,"BRONZE")</f>
        <v>ARGENT</v>
      </c>
      <c r="L65" s="44"/>
    </row>
    <row r="66" spans="4:12" x14ac:dyDescent="0.25">
      <c r="D66">
        <v>1</v>
      </c>
      <c r="E66" s="11">
        <v>45507</v>
      </c>
      <c r="F66" t="s">
        <v>196</v>
      </c>
      <c r="G66">
        <v>104</v>
      </c>
      <c r="H66">
        <v>209</v>
      </c>
      <c r="I66">
        <v>1899653</v>
      </c>
      <c r="J66" s="36" t="str" cm="1">
        <f t="array" ref="J66">_xlfn.SWITCH(D66,1,"OR",2,"ARGENT",3,"BRONZE")</f>
        <v>OR</v>
      </c>
      <c r="L66" s="44"/>
    </row>
    <row r="67" spans="4:12" x14ac:dyDescent="0.25">
      <c r="D67">
        <v>1</v>
      </c>
      <c r="E67" s="11">
        <v>45513</v>
      </c>
      <c r="F67" t="s">
        <v>199</v>
      </c>
      <c r="G67">
        <v>60</v>
      </c>
      <c r="H67">
        <v>47</v>
      </c>
      <c r="I67">
        <v>1899666</v>
      </c>
      <c r="J67" s="36" t="str" cm="1">
        <f t="array" ref="J67">_xlfn.SWITCH(D67,1,"OR",2,"ARGENT",3,"BRONZE")</f>
        <v>OR</v>
      </c>
      <c r="L67" s="44"/>
    </row>
    <row r="68" spans="4:12" x14ac:dyDescent="0.25">
      <c r="D68">
        <v>1</v>
      </c>
      <c r="E68" s="11">
        <v>45512</v>
      </c>
      <c r="F68" t="s">
        <v>202</v>
      </c>
      <c r="G68">
        <v>77</v>
      </c>
      <c r="H68">
        <v>210</v>
      </c>
      <c r="I68">
        <v>1899728</v>
      </c>
      <c r="J68" s="36" t="str" cm="1">
        <f t="array" ref="J68">_xlfn.SWITCH(D68,1,"OR",2,"ARGENT",3,"BRONZE")</f>
        <v>OR</v>
      </c>
      <c r="L68" s="44"/>
    </row>
    <row r="69" spans="4:12" x14ac:dyDescent="0.25">
      <c r="D69">
        <v>1</v>
      </c>
      <c r="E69" s="11">
        <v>45514</v>
      </c>
      <c r="F69" t="s">
        <v>205</v>
      </c>
      <c r="G69">
        <v>68</v>
      </c>
      <c r="H69">
        <v>29</v>
      </c>
      <c r="I69">
        <v>1901284</v>
      </c>
      <c r="J69" s="36" t="str" cm="1">
        <f t="array" ref="J69">_xlfn.SWITCH(D69,1,"OR",2,"ARGENT",3,"BRONZE")</f>
        <v>OR</v>
      </c>
      <c r="L69" s="44"/>
    </row>
    <row r="70" spans="4:12" x14ac:dyDescent="0.25">
      <c r="D70">
        <v>3</v>
      </c>
      <c r="E70" s="11">
        <v>45513</v>
      </c>
      <c r="F70" t="s">
        <v>208</v>
      </c>
      <c r="G70">
        <v>42</v>
      </c>
      <c r="H70">
        <v>134</v>
      </c>
      <c r="I70">
        <v>1901538</v>
      </c>
      <c r="J70" s="36" t="str" cm="1">
        <f t="array" ref="J70">_xlfn.SWITCH(D70,1,"OR",2,"ARGENT",3,"BRONZE")</f>
        <v>BRONZE</v>
      </c>
      <c r="L70" s="44"/>
    </row>
    <row r="71" spans="4:12" x14ac:dyDescent="0.25">
      <c r="D71">
        <v>3</v>
      </c>
      <c r="E71" s="11">
        <v>45510</v>
      </c>
      <c r="F71" t="s">
        <v>210</v>
      </c>
      <c r="G71">
        <v>42</v>
      </c>
      <c r="H71">
        <v>135</v>
      </c>
      <c r="I71">
        <v>1901545</v>
      </c>
      <c r="J71" s="36" t="str" cm="1">
        <f t="array" ref="J71">_xlfn.SWITCH(D71,1,"OR",2,"ARGENT",3,"BRONZE")</f>
        <v>BRONZE</v>
      </c>
      <c r="L71" s="44"/>
    </row>
    <row r="72" spans="4:12" x14ac:dyDescent="0.25">
      <c r="D72">
        <v>3</v>
      </c>
      <c r="E72" s="11">
        <v>45512</v>
      </c>
      <c r="F72" t="s">
        <v>212</v>
      </c>
      <c r="G72">
        <v>42</v>
      </c>
      <c r="H72">
        <v>138</v>
      </c>
      <c r="I72">
        <v>1901550</v>
      </c>
      <c r="J72" s="36" t="str" cm="1">
        <f t="array" ref="J72">_xlfn.SWITCH(D72,1,"OR",2,"ARGENT",3,"BRONZE")</f>
        <v>BRONZE</v>
      </c>
      <c r="L72" s="44"/>
    </row>
    <row r="73" spans="4:12" x14ac:dyDescent="0.25">
      <c r="D73">
        <v>2</v>
      </c>
      <c r="E73" s="11">
        <v>45514</v>
      </c>
      <c r="F73" t="s">
        <v>214</v>
      </c>
      <c r="G73">
        <v>42</v>
      </c>
      <c r="H73">
        <v>139</v>
      </c>
      <c r="I73">
        <v>1901556</v>
      </c>
      <c r="J73" s="36" t="str" cm="1">
        <f t="array" ref="J73">_xlfn.SWITCH(D73,1,"OR",2,"ARGENT",3,"BRONZE")</f>
        <v>ARGENT</v>
      </c>
      <c r="L73" s="44"/>
    </row>
    <row r="74" spans="4:12" x14ac:dyDescent="0.25">
      <c r="D74">
        <v>3</v>
      </c>
      <c r="E74" s="11">
        <v>45501</v>
      </c>
      <c r="F74" t="s">
        <v>216</v>
      </c>
      <c r="G74">
        <v>108</v>
      </c>
      <c r="H74">
        <v>230</v>
      </c>
      <c r="I74">
        <v>1902055</v>
      </c>
      <c r="J74" s="36" t="str" cm="1">
        <f t="array" ref="J74">_xlfn.SWITCH(D74,1,"OR",2,"ARGENT",3,"BRONZE")</f>
        <v>BRONZE</v>
      </c>
      <c r="L74" s="44"/>
    </row>
    <row r="75" spans="4:12" x14ac:dyDescent="0.25">
      <c r="D75">
        <v>2</v>
      </c>
      <c r="E75" s="11">
        <v>45502</v>
      </c>
      <c r="F75" t="s">
        <v>218</v>
      </c>
      <c r="G75">
        <v>108</v>
      </c>
      <c r="H75">
        <v>231</v>
      </c>
      <c r="I75">
        <v>1902081</v>
      </c>
      <c r="J75" s="36" t="str" cm="1">
        <f t="array" ref="J75">_xlfn.SWITCH(D75,1,"OR",2,"ARGENT",3,"BRONZE")</f>
        <v>ARGENT</v>
      </c>
      <c r="L75" s="44"/>
    </row>
    <row r="76" spans="4:12" x14ac:dyDescent="0.25">
      <c r="D76">
        <v>3</v>
      </c>
      <c r="E76" s="11">
        <v>45508</v>
      </c>
      <c r="F76" t="s">
        <v>220</v>
      </c>
      <c r="G76">
        <v>113</v>
      </c>
      <c r="H76">
        <v>1</v>
      </c>
      <c r="I76">
        <v>1902135</v>
      </c>
      <c r="J76" s="36" t="str" cm="1">
        <f t="array" ref="J76">_xlfn.SWITCH(D76,1,"OR",2,"ARGENT",3,"BRONZE")</f>
        <v>BRONZE</v>
      </c>
      <c r="L76" s="44"/>
    </row>
    <row r="77" spans="4:12" x14ac:dyDescent="0.25">
      <c r="D77">
        <v>3</v>
      </c>
      <c r="E77" s="11">
        <v>45507</v>
      </c>
      <c r="F77" t="s">
        <v>222</v>
      </c>
      <c r="G77">
        <v>113</v>
      </c>
      <c r="H77">
        <v>2</v>
      </c>
      <c r="I77">
        <v>1902147</v>
      </c>
      <c r="J77" s="36" t="str" cm="1">
        <f t="array" ref="J77">_xlfn.SWITCH(D77,1,"OR",2,"ARGENT",3,"BRONZE")</f>
        <v>BRONZE</v>
      </c>
      <c r="L77" s="44"/>
    </row>
    <row r="78" spans="4:12" x14ac:dyDescent="0.25">
      <c r="D78">
        <v>3</v>
      </c>
      <c r="E78" s="11">
        <v>45508</v>
      </c>
      <c r="F78" t="s">
        <v>224</v>
      </c>
      <c r="G78">
        <v>42</v>
      </c>
      <c r="H78">
        <v>275</v>
      </c>
      <c r="I78">
        <v>1902295</v>
      </c>
      <c r="J78" s="36" t="str" cm="1">
        <f t="array" ref="J78">_xlfn.SWITCH(D78,1,"OR",2,"ARGENT",3,"BRONZE")</f>
        <v>BRONZE</v>
      </c>
      <c r="L78" s="44"/>
    </row>
    <row r="79" spans="4:12" x14ac:dyDescent="0.25">
      <c r="D79">
        <v>3</v>
      </c>
      <c r="E79" s="11">
        <v>45507</v>
      </c>
      <c r="F79" t="s">
        <v>226</v>
      </c>
      <c r="G79">
        <v>42</v>
      </c>
      <c r="H79">
        <v>276</v>
      </c>
      <c r="I79">
        <v>1902307</v>
      </c>
      <c r="J79" s="36" t="str" cm="1">
        <f t="array" ref="J79">_xlfn.SWITCH(D79,1,"OR",2,"ARGENT",3,"BRONZE")</f>
        <v>BRONZE</v>
      </c>
      <c r="L79" s="44"/>
    </row>
    <row r="80" spans="4:12" x14ac:dyDescent="0.25">
      <c r="D80">
        <v>1</v>
      </c>
      <c r="E80" s="11">
        <v>45511</v>
      </c>
      <c r="F80" t="s">
        <v>228</v>
      </c>
      <c r="G80">
        <v>200</v>
      </c>
      <c r="H80">
        <v>284</v>
      </c>
      <c r="I80">
        <v>1902841</v>
      </c>
      <c r="J80" s="36" t="str" cm="1">
        <f t="array" ref="J80">_xlfn.SWITCH(D80,1,"OR",2,"ARGENT",3,"BRONZE")</f>
        <v>OR</v>
      </c>
      <c r="L80" s="44"/>
    </row>
    <row r="81" spans="4:12" x14ac:dyDescent="0.25">
      <c r="D81">
        <v>3</v>
      </c>
      <c r="E81" s="11">
        <v>45513</v>
      </c>
      <c r="F81" t="s">
        <v>231</v>
      </c>
      <c r="G81">
        <v>33</v>
      </c>
      <c r="H81">
        <v>309</v>
      </c>
      <c r="I81">
        <v>1903011</v>
      </c>
      <c r="J81" s="36" t="str" cm="1">
        <f t="array" ref="J81">_xlfn.SWITCH(D81,1,"OR",2,"ARGENT",3,"BRONZE")</f>
        <v>BRONZE</v>
      </c>
      <c r="L81" s="44"/>
    </row>
    <row r="82" spans="4:12" x14ac:dyDescent="0.25">
      <c r="D82">
        <v>1</v>
      </c>
      <c r="E82" s="11">
        <v>45513</v>
      </c>
      <c r="F82" t="s">
        <v>234</v>
      </c>
      <c r="G82">
        <v>20</v>
      </c>
      <c r="H82">
        <v>64</v>
      </c>
      <c r="I82">
        <v>1903112</v>
      </c>
      <c r="J82" s="36" t="str" cm="1">
        <f t="array" ref="J82">_xlfn.SWITCH(D82,1,"OR",2,"ARGENT",3,"BRONZE")</f>
        <v>OR</v>
      </c>
      <c r="L82" s="44"/>
    </row>
    <row r="83" spans="4:12" x14ac:dyDescent="0.25">
      <c r="D83">
        <v>3</v>
      </c>
      <c r="E83" s="11">
        <v>45500</v>
      </c>
      <c r="F83" t="s">
        <v>236</v>
      </c>
      <c r="G83">
        <v>20</v>
      </c>
      <c r="H83">
        <v>120</v>
      </c>
      <c r="I83">
        <v>1903136</v>
      </c>
      <c r="J83" s="36" t="str" cm="1">
        <f t="array" ref="J83">_xlfn.SWITCH(D83,1,"OR",2,"ARGENT",3,"BRONZE")</f>
        <v>BRONZE</v>
      </c>
      <c r="L83" s="44"/>
    </row>
    <row r="84" spans="4:12" x14ac:dyDescent="0.25">
      <c r="D84">
        <v>2</v>
      </c>
      <c r="E84" s="11">
        <v>45507</v>
      </c>
      <c r="F84" t="s">
        <v>236</v>
      </c>
      <c r="G84">
        <v>20</v>
      </c>
      <c r="H84">
        <v>118</v>
      </c>
      <c r="I84">
        <v>1903136</v>
      </c>
      <c r="J84" s="36" t="str" cm="1">
        <f t="array" ref="J84">_xlfn.SWITCH(D84,1,"OR",2,"ARGENT",3,"BRONZE")</f>
        <v>ARGENT</v>
      </c>
      <c r="L84" s="44"/>
    </row>
    <row r="85" spans="4:12" x14ac:dyDescent="0.25">
      <c r="D85">
        <v>3</v>
      </c>
      <c r="E85" s="11">
        <v>45512</v>
      </c>
      <c r="F85" t="s">
        <v>239</v>
      </c>
      <c r="G85">
        <v>113</v>
      </c>
      <c r="H85">
        <v>285</v>
      </c>
      <c r="I85">
        <v>1904038</v>
      </c>
      <c r="J85" s="36" t="str" cm="1">
        <f t="array" ref="J85">_xlfn.SWITCH(D85,1,"OR",2,"ARGENT",3,"BRONZE")</f>
        <v>BRONZE</v>
      </c>
      <c r="L85" s="44"/>
    </row>
    <row r="86" spans="4:12" x14ac:dyDescent="0.25">
      <c r="D86">
        <v>1</v>
      </c>
      <c r="E86" s="11">
        <v>45511</v>
      </c>
      <c r="F86" t="s">
        <v>241</v>
      </c>
      <c r="G86">
        <v>113</v>
      </c>
      <c r="H86">
        <v>280</v>
      </c>
      <c r="I86">
        <v>1904040</v>
      </c>
      <c r="J86" s="36" t="str" cm="1">
        <f t="array" ref="J86">_xlfn.SWITCH(D86,1,"OR",2,"ARGENT",3,"BRONZE")</f>
        <v>OR</v>
      </c>
      <c r="L86" s="44"/>
    </row>
    <row r="87" spans="4:12" x14ac:dyDescent="0.25">
      <c r="D87">
        <v>3</v>
      </c>
      <c r="E87" s="11">
        <v>45513</v>
      </c>
      <c r="F87" t="s">
        <v>243</v>
      </c>
      <c r="G87">
        <v>66</v>
      </c>
      <c r="H87">
        <v>36</v>
      </c>
      <c r="I87">
        <v>1904099</v>
      </c>
      <c r="J87" s="36" t="str" cm="1">
        <f t="array" ref="J87">_xlfn.SWITCH(D87,1,"OR",2,"ARGENT",3,"BRONZE")</f>
        <v>BRONZE</v>
      </c>
      <c r="L87" s="44"/>
    </row>
    <row r="88" spans="4:12" x14ac:dyDescent="0.25">
      <c r="D88">
        <v>1</v>
      </c>
      <c r="E88" s="11">
        <v>45504</v>
      </c>
      <c r="F88" t="s">
        <v>246</v>
      </c>
      <c r="G88">
        <v>77</v>
      </c>
      <c r="H88">
        <v>296</v>
      </c>
      <c r="I88">
        <v>1904251</v>
      </c>
      <c r="J88" s="36" t="str" cm="1">
        <f t="array" ref="J88">_xlfn.SWITCH(D88,1,"OR",2,"ARGENT",3,"BRONZE")</f>
        <v>OR</v>
      </c>
      <c r="L88" s="44"/>
    </row>
    <row r="89" spans="4:12" x14ac:dyDescent="0.25">
      <c r="D89">
        <v>3</v>
      </c>
      <c r="E89" s="11">
        <v>45503</v>
      </c>
      <c r="F89" t="s">
        <v>249</v>
      </c>
      <c r="G89">
        <v>77</v>
      </c>
      <c r="H89">
        <v>219</v>
      </c>
      <c r="I89">
        <v>1904430</v>
      </c>
      <c r="J89" s="36" t="str" cm="1">
        <f t="array" ref="J89">_xlfn.SWITCH(D89,1,"OR",2,"ARGENT",3,"BRONZE")</f>
        <v>BRONZE</v>
      </c>
      <c r="L89" s="44"/>
    </row>
    <row r="90" spans="4:12" x14ac:dyDescent="0.25">
      <c r="D90">
        <v>3</v>
      </c>
      <c r="E90" s="11">
        <v>45506</v>
      </c>
      <c r="F90" t="s">
        <v>252</v>
      </c>
      <c r="G90">
        <v>77</v>
      </c>
      <c r="H90">
        <v>294</v>
      </c>
      <c r="I90">
        <v>1904745</v>
      </c>
      <c r="J90" s="36" t="str" cm="1">
        <f t="array" ref="J90">_xlfn.SWITCH(D90,1,"OR",2,"ARGENT",3,"BRONZE")</f>
        <v>BRONZE</v>
      </c>
      <c r="L90" s="44"/>
    </row>
    <row r="91" spans="4:12" x14ac:dyDescent="0.25">
      <c r="D91">
        <v>1</v>
      </c>
      <c r="E91" s="11">
        <v>45505</v>
      </c>
      <c r="F91" t="s">
        <v>256</v>
      </c>
      <c r="G91">
        <v>93</v>
      </c>
      <c r="H91">
        <v>264</v>
      </c>
      <c r="I91">
        <v>1904977</v>
      </c>
      <c r="J91" s="36" t="str" cm="1">
        <f t="array" ref="J91">_xlfn.SWITCH(D91,1,"OR",2,"ARGENT",3,"BRONZE")</f>
        <v>OR</v>
      </c>
      <c r="L91" s="44"/>
    </row>
    <row r="92" spans="4:12" x14ac:dyDescent="0.25">
      <c r="D92">
        <v>3</v>
      </c>
      <c r="E92" s="11">
        <v>45507</v>
      </c>
      <c r="F92" t="s">
        <v>259</v>
      </c>
      <c r="G92">
        <v>93</v>
      </c>
      <c r="H92">
        <v>267</v>
      </c>
      <c r="I92">
        <v>1905860</v>
      </c>
      <c r="J92" s="36" t="str" cm="1">
        <f t="array" ref="J92">_xlfn.SWITCH(D92,1,"OR",2,"ARGENT",3,"BRONZE")</f>
        <v>BRONZE</v>
      </c>
      <c r="L92" s="44"/>
    </row>
    <row r="93" spans="4:12" x14ac:dyDescent="0.25">
      <c r="D93">
        <v>1</v>
      </c>
      <c r="E93" s="11">
        <v>45507</v>
      </c>
      <c r="F93" t="s">
        <v>262</v>
      </c>
      <c r="G93">
        <v>82</v>
      </c>
      <c r="H93">
        <v>196</v>
      </c>
      <c r="I93">
        <v>1906515</v>
      </c>
      <c r="J93" s="36" t="str" cm="1">
        <f t="array" ref="J93">_xlfn.SWITCH(D93,1,"OR",2,"ARGENT",3,"BRONZE")</f>
        <v>OR</v>
      </c>
      <c r="L93" s="44"/>
    </row>
    <row r="94" spans="4:12" x14ac:dyDescent="0.25">
      <c r="D94">
        <v>1</v>
      </c>
      <c r="E94" s="11">
        <v>45500</v>
      </c>
      <c r="F94" t="s">
        <v>265</v>
      </c>
      <c r="G94">
        <v>82</v>
      </c>
      <c r="H94">
        <v>260</v>
      </c>
      <c r="I94">
        <v>1907192</v>
      </c>
      <c r="J94" s="36" t="str" cm="1">
        <f t="array" ref="J94">_xlfn.SWITCH(D94,1,"OR",2,"ARGENT",3,"BRONZE")</f>
        <v>OR</v>
      </c>
      <c r="L94" s="44"/>
    </row>
    <row r="95" spans="4:12" x14ac:dyDescent="0.25">
      <c r="D95">
        <v>1</v>
      </c>
      <c r="E95" s="11">
        <v>45507</v>
      </c>
      <c r="F95" t="s">
        <v>268</v>
      </c>
      <c r="G95">
        <v>59</v>
      </c>
      <c r="H95">
        <v>59</v>
      </c>
      <c r="I95">
        <v>1908333</v>
      </c>
      <c r="J95" s="36" t="str" cm="1">
        <f t="array" ref="J95">_xlfn.SWITCH(D95,1,"OR",2,"ARGENT",3,"BRONZE")</f>
        <v>OR</v>
      </c>
      <c r="L95" s="44"/>
    </row>
    <row r="96" spans="4:12" x14ac:dyDescent="0.25">
      <c r="D96">
        <v>1</v>
      </c>
      <c r="E96" s="11">
        <v>45513</v>
      </c>
      <c r="F96" t="s">
        <v>271</v>
      </c>
      <c r="G96">
        <v>93</v>
      </c>
      <c r="H96">
        <v>184</v>
      </c>
      <c r="I96">
        <v>1909030</v>
      </c>
      <c r="J96" s="36" t="str" cm="1">
        <f t="array" ref="J96">_xlfn.SWITCH(D96,1,"OR",2,"ARGENT",3,"BRONZE")</f>
        <v>OR</v>
      </c>
      <c r="L96" s="44"/>
    </row>
    <row r="97" spans="4:12" x14ac:dyDescent="0.25">
      <c r="D97">
        <v>2</v>
      </c>
      <c r="E97" s="11">
        <v>45504</v>
      </c>
      <c r="F97" t="s">
        <v>274</v>
      </c>
      <c r="G97">
        <v>72</v>
      </c>
      <c r="H97">
        <v>266</v>
      </c>
      <c r="I97">
        <v>1909294</v>
      </c>
      <c r="J97" s="36" t="str" cm="1">
        <f t="array" ref="J97">_xlfn.SWITCH(D97,1,"OR",2,"ARGENT",3,"BRONZE")</f>
        <v>ARGENT</v>
      </c>
      <c r="L97" s="44"/>
    </row>
    <row r="98" spans="4:12" x14ac:dyDescent="0.25">
      <c r="D98">
        <v>1</v>
      </c>
      <c r="E98" s="11">
        <v>45501</v>
      </c>
      <c r="F98" t="s">
        <v>274</v>
      </c>
      <c r="G98">
        <v>72</v>
      </c>
      <c r="H98">
        <v>270</v>
      </c>
      <c r="I98">
        <v>1909294</v>
      </c>
      <c r="J98" s="36" t="str" cm="1">
        <f t="array" ref="J98">_xlfn.SWITCH(D98,1,"OR",2,"ARGENT",3,"BRONZE")</f>
        <v>OR</v>
      </c>
      <c r="L98" s="44"/>
    </row>
    <row r="99" spans="4:12" x14ac:dyDescent="0.25">
      <c r="D99">
        <v>2</v>
      </c>
      <c r="E99" s="11">
        <v>45504</v>
      </c>
      <c r="F99" t="s">
        <v>274</v>
      </c>
      <c r="G99">
        <v>72</v>
      </c>
      <c r="H99">
        <v>268</v>
      </c>
      <c r="I99">
        <v>1909294</v>
      </c>
      <c r="J99" s="36" t="str" cm="1">
        <f t="array" ref="J99">_xlfn.SWITCH(D99,1,"OR",2,"ARGENT",3,"BRONZE")</f>
        <v>ARGENT</v>
      </c>
      <c r="L99" s="44"/>
    </row>
    <row r="100" spans="4:12" x14ac:dyDescent="0.25">
      <c r="D100">
        <v>1</v>
      </c>
      <c r="E100" s="11">
        <v>45506</v>
      </c>
      <c r="F100" t="s">
        <v>274</v>
      </c>
      <c r="G100">
        <v>72</v>
      </c>
      <c r="H100">
        <v>269</v>
      </c>
      <c r="I100">
        <v>1909294</v>
      </c>
      <c r="J100" s="36" t="str" cm="1">
        <f t="array" ref="J100">_xlfn.SWITCH(D100,1,"OR",2,"ARGENT",3,"BRONZE")</f>
        <v>OR</v>
      </c>
      <c r="L100" s="44"/>
    </row>
    <row r="101" spans="4:12" x14ac:dyDescent="0.25">
      <c r="D101">
        <v>2</v>
      </c>
      <c r="E101" s="11">
        <v>45514</v>
      </c>
      <c r="F101" t="s">
        <v>277</v>
      </c>
      <c r="G101">
        <v>110</v>
      </c>
      <c r="H101">
        <v>25</v>
      </c>
      <c r="I101">
        <v>1910412</v>
      </c>
      <c r="J101" s="36" t="str" cm="1">
        <f t="array" ref="J101">_xlfn.SWITCH(D101,1,"OR",2,"ARGENT",3,"BRONZE")</f>
        <v>ARGENT</v>
      </c>
      <c r="L101" s="44"/>
    </row>
    <row r="102" spans="4:12" x14ac:dyDescent="0.25">
      <c r="D102">
        <v>1</v>
      </c>
      <c r="E102" s="11">
        <v>45514</v>
      </c>
      <c r="F102" t="s">
        <v>280</v>
      </c>
      <c r="G102">
        <v>110</v>
      </c>
      <c r="H102">
        <v>49</v>
      </c>
      <c r="I102">
        <v>1910451</v>
      </c>
      <c r="J102" s="36" t="str" cm="1">
        <f t="array" ref="J102">_xlfn.SWITCH(D102,1,"OR",2,"ARGENT",3,"BRONZE")</f>
        <v>OR</v>
      </c>
      <c r="L102" s="44"/>
    </row>
    <row r="103" spans="4:12" x14ac:dyDescent="0.25">
      <c r="D103">
        <v>3</v>
      </c>
      <c r="E103" s="11">
        <v>45509</v>
      </c>
      <c r="F103" t="s">
        <v>283</v>
      </c>
      <c r="G103">
        <v>110</v>
      </c>
      <c r="H103">
        <v>50</v>
      </c>
      <c r="I103">
        <v>1910560</v>
      </c>
      <c r="J103" s="36" t="str" cm="1">
        <f t="array" ref="J103">_xlfn.SWITCH(D103,1,"OR",2,"ARGENT",3,"BRONZE")</f>
        <v>BRONZE</v>
      </c>
      <c r="L103" s="44"/>
    </row>
    <row r="104" spans="4:12" x14ac:dyDescent="0.25">
      <c r="D104">
        <v>2</v>
      </c>
      <c r="E104" s="11">
        <v>45513</v>
      </c>
      <c r="F104" t="s">
        <v>283</v>
      </c>
      <c r="G104">
        <v>110</v>
      </c>
      <c r="H104">
        <v>51</v>
      </c>
      <c r="I104">
        <v>1910560</v>
      </c>
      <c r="J104" s="36" t="str" cm="1">
        <f t="array" ref="J104">_xlfn.SWITCH(D104,1,"OR",2,"ARGENT",3,"BRONZE")</f>
        <v>ARGENT</v>
      </c>
      <c r="L104" s="44"/>
    </row>
    <row r="105" spans="4:12" x14ac:dyDescent="0.25">
      <c r="D105">
        <v>1</v>
      </c>
      <c r="E105" s="11">
        <v>45511</v>
      </c>
      <c r="F105" t="s">
        <v>286</v>
      </c>
      <c r="G105">
        <v>106</v>
      </c>
      <c r="H105">
        <v>38</v>
      </c>
      <c r="I105">
        <v>1912322</v>
      </c>
      <c r="J105" s="36" t="str" cm="1">
        <f t="array" ref="J105">_xlfn.SWITCH(D105,1,"OR",2,"ARGENT",3,"BRONZE")</f>
        <v>OR</v>
      </c>
      <c r="L105" s="44"/>
    </row>
    <row r="106" spans="4:12" x14ac:dyDescent="0.25">
      <c r="D106">
        <v>3</v>
      </c>
      <c r="E106" s="11">
        <v>45502</v>
      </c>
      <c r="F106" t="s">
        <v>289</v>
      </c>
      <c r="G106">
        <v>77</v>
      </c>
      <c r="H106">
        <v>116</v>
      </c>
      <c r="I106">
        <v>1912546</v>
      </c>
      <c r="J106" s="36" t="str" cm="1">
        <f t="array" ref="J106">_xlfn.SWITCH(D106,1,"OR",2,"ARGENT",3,"BRONZE")</f>
        <v>BRONZE</v>
      </c>
      <c r="L106" s="44"/>
    </row>
    <row r="107" spans="4:12" x14ac:dyDescent="0.25">
      <c r="D107">
        <v>1</v>
      </c>
      <c r="E107" s="11">
        <v>45502</v>
      </c>
      <c r="F107" t="s">
        <v>292</v>
      </c>
      <c r="G107">
        <v>42</v>
      </c>
      <c r="H107">
        <v>215</v>
      </c>
      <c r="I107">
        <v>1913899</v>
      </c>
      <c r="J107" s="36" t="str" cm="1">
        <f t="array" ref="J107">_xlfn.SWITCH(D107,1,"OR",2,"ARGENT",3,"BRONZE")</f>
        <v>OR</v>
      </c>
      <c r="L107" s="44"/>
    </row>
    <row r="108" spans="4:12" x14ac:dyDescent="0.25">
      <c r="D108">
        <v>1</v>
      </c>
      <c r="E108" s="11">
        <v>45501</v>
      </c>
      <c r="F108" t="s">
        <v>294</v>
      </c>
      <c r="G108">
        <v>42</v>
      </c>
      <c r="H108">
        <v>217</v>
      </c>
      <c r="I108">
        <v>1913907</v>
      </c>
      <c r="J108" s="36" t="str" cm="1">
        <f t="array" ref="J108">_xlfn.SWITCH(D108,1,"OR",2,"ARGENT",3,"BRONZE")</f>
        <v>OR</v>
      </c>
      <c r="L108" s="44"/>
    </row>
    <row r="109" spans="4:12" x14ac:dyDescent="0.25">
      <c r="D109">
        <v>1</v>
      </c>
      <c r="E109" s="11">
        <v>45509</v>
      </c>
      <c r="F109" t="s">
        <v>296</v>
      </c>
      <c r="G109">
        <v>42</v>
      </c>
      <c r="H109">
        <v>218</v>
      </c>
      <c r="I109">
        <v>1913913</v>
      </c>
      <c r="J109" s="36" t="str" cm="1">
        <f t="array" ref="J109">_xlfn.SWITCH(D109,1,"OR",2,"ARGENT",3,"BRONZE")</f>
        <v>OR</v>
      </c>
      <c r="L109" s="44"/>
    </row>
    <row r="110" spans="4:12" x14ac:dyDescent="0.25">
      <c r="D110">
        <v>1</v>
      </c>
      <c r="E110" s="11">
        <v>45870</v>
      </c>
      <c r="F110" t="s">
        <v>298</v>
      </c>
      <c r="G110">
        <v>42</v>
      </c>
      <c r="H110">
        <v>216</v>
      </c>
      <c r="I110">
        <v>1913922</v>
      </c>
      <c r="J110" s="36" t="str" cm="1">
        <f t="array" ref="J110">_xlfn.SWITCH(D110,1,"OR",2,"ARGENT",3,"BRONZE")</f>
        <v>OR</v>
      </c>
      <c r="L110" s="44"/>
    </row>
    <row r="111" spans="4:12" x14ac:dyDescent="0.25">
      <c r="D111">
        <v>1</v>
      </c>
      <c r="E111" s="11">
        <v>45510</v>
      </c>
      <c r="F111" t="s">
        <v>300</v>
      </c>
      <c r="G111">
        <v>82</v>
      </c>
      <c r="H111">
        <v>147</v>
      </c>
      <c r="I111">
        <v>1914912</v>
      </c>
      <c r="J111" s="36" t="str" cm="1">
        <f t="array" ref="J111">_xlfn.SWITCH(D111,1,"OR",2,"ARGENT",3,"BRONZE")</f>
        <v>OR</v>
      </c>
      <c r="L111" s="44"/>
    </row>
    <row r="112" spans="4:12" x14ac:dyDescent="0.25">
      <c r="D112">
        <v>1</v>
      </c>
      <c r="E112" s="11">
        <v>45502</v>
      </c>
      <c r="F112" t="s">
        <v>303</v>
      </c>
      <c r="G112">
        <v>82</v>
      </c>
      <c r="H112">
        <v>143</v>
      </c>
      <c r="I112">
        <v>1914921</v>
      </c>
      <c r="J112" s="36" t="str" cm="1">
        <f t="array" ref="J112">_xlfn.SWITCH(D112,1,"OR",2,"ARGENT",3,"BRONZE")</f>
        <v>OR</v>
      </c>
      <c r="L112" s="44"/>
    </row>
    <row r="113" spans="4:12" x14ac:dyDescent="0.25">
      <c r="D113">
        <v>3</v>
      </c>
      <c r="E113" s="11">
        <v>45502</v>
      </c>
      <c r="F113" t="s">
        <v>306</v>
      </c>
      <c r="G113">
        <v>72</v>
      </c>
      <c r="H113">
        <v>150</v>
      </c>
      <c r="I113">
        <v>1916223</v>
      </c>
      <c r="J113" s="36" t="str" cm="1">
        <f t="array" ref="J113">_xlfn.SWITCH(D113,1,"OR",2,"ARGENT",3,"BRONZE")</f>
        <v>BRONZE</v>
      </c>
      <c r="L113" s="44"/>
    </row>
    <row r="114" spans="4:12" x14ac:dyDescent="0.25">
      <c r="D114">
        <v>1</v>
      </c>
      <c r="E114" s="11">
        <v>45504</v>
      </c>
      <c r="F114" t="s">
        <v>309</v>
      </c>
      <c r="G114">
        <v>9</v>
      </c>
      <c r="H114">
        <v>113</v>
      </c>
      <c r="I114">
        <v>1916809</v>
      </c>
      <c r="J114" s="36" t="str" cm="1">
        <f t="array" ref="J114">_xlfn.SWITCH(D114,1,"OR",2,"ARGENT",3,"BRONZE")</f>
        <v>OR</v>
      </c>
      <c r="L114" s="44"/>
    </row>
    <row r="115" spans="4:12" x14ac:dyDescent="0.25">
      <c r="D115">
        <v>3</v>
      </c>
      <c r="E115" s="11">
        <v>45514</v>
      </c>
      <c r="F115" t="s">
        <v>312</v>
      </c>
      <c r="G115">
        <v>42</v>
      </c>
      <c r="H115">
        <v>310</v>
      </c>
      <c r="I115">
        <v>1918369</v>
      </c>
      <c r="J115" s="36" t="str" cm="1">
        <f t="array" ref="J115">_xlfn.SWITCH(D115,1,"OR",2,"ARGENT",3,"BRONZE")</f>
        <v>BRONZE</v>
      </c>
      <c r="L115" s="44"/>
    </row>
    <row r="116" spans="4:12" x14ac:dyDescent="0.25">
      <c r="D116">
        <v>3</v>
      </c>
      <c r="E116" s="11">
        <v>45511</v>
      </c>
      <c r="F116" t="s">
        <v>314</v>
      </c>
      <c r="G116">
        <v>42</v>
      </c>
      <c r="H116">
        <v>307</v>
      </c>
      <c r="I116">
        <v>1918372</v>
      </c>
      <c r="J116" s="36" t="str" cm="1">
        <f t="array" ref="J116">_xlfn.SWITCH(D116,1,"OR",2,"ARGENT",3,"BRONZE")</f>
        <v>BRONZE</v>
      </c>
      <c r="L116" s="44"/>
    </row>
    <row r="117" spans="4:12" x14ac:dyDescent="0.25">
      <c r="D117">
        <v>1</v>
      </c>
      <c r="E117" s="11">
        <v>45515</v>
      </c>
      <c r="F117" t="s">
        <v>316</v>
      </c>
      <c r="G117">
        <v>42</v>
      </c>
      <c r="H117">
        <v>306</v>
      </c>
      <c r="I117">
        <v>1918376</v>
      </c>
      <c r="J117" s="36" t="str" cm="1">
        <f t="array" ref="J117">_xlfn.SWITCH(D117,1,"OR",2,"ARGENT",3,"BRONZE")</f>
        <v>OR</v>
      </c>
      <c r="L117" s="44"/>
    </row>
    <row r="118" spans="4:12" x14ac:dyDescent="0.25">
      <c r="D118">
        <v>1</v>
      </c>
      <c r="E118" s="11">
        <v>45511</v>
      </c>
      <c r="F118" t="s">
        <v>318</v>
      </c>
      <c r="G118">
        <v>42</v>
      </c>
      <c r="H118">
        <v>302</v>
      </c>
      <c r="I118">
        <v>1918377</v>
      </c>
      <c r="J118" s="36" t="str" cm="1">
        <f t="array" ref="J118">_xlfn.SWITCH(D118,1,"OR",2,"ARGENT",3,"BRONZE")</f>
        <v>OR</v>
      </c>
      <c r="L118" s="44"/>
    </row>
    <row r="119" spans="4:12" x14ac:dyDescent="0.25">
      <c r="D119">
        <v>3</v>
      </c>
      <c r="E119" s="11">
        <v>45512</v>
      </c>
      <c r="F119" t="s">
        <v>320</v>
      </c>
      <c r="G119">
        <v>42</v>
      </c>
      <c r="H119">
        <v>303</v>
      </c>
      <c r="I119">
        <v>1918379</v>
      </c>
      <c r="J119" s="36" t="str" cm="1">
        <f t="array" ref="J119">_xlfn.SWITCH(D119,1,"OR",2,"ARGENT",3,"BRONZE")</f>
        <v>BRONZE</v>
      </c>
      <c r="L119" s="44"/>
    </row>
    <row r="120" spans="4:12" x14ac:dyDescent="0.25">
      <c r="D120">
        <v>1</v>
      </c>
      <c r="E120" s="11">
        <v>45508</v>
      </c>
      <c r="F120" t="s">
        <v>322</v>
      </c>
      <c r="G120">
        <v>42</v>
      </c>
      <c r="H120">
        <v>10</v>
      </c>
      <c r="I120">
        <v>1918856</v>
      </c>
      <c r="J120" s="36" t="str" cm="1">
        <f t="array" ref="J120">_xlfn.SWITCH(D120,1,"OR",2,"ARGENT",3,"BRONZE")</f>
        <v>OR</v>
      </c>
      <c r="L120" s="44"/>
    </row>
    <row r="121" spans="4:12" x14ac:dyDescent="0.25">
      <c r="D121">
        <v>3</v>
      </c>
      <c r="E121" s="11">
        <v>45509</v>
      </c>
      <c r="F121" t="s">
        <v>324</v>
      </c>
      <c r="G121">
        <v>42</v>
      </c>
      <c r="H121">
        <v>12</v>
      </c>
      <c r="I121">
        <v>1918865</v>
      </c>
      <c r="J121" s="36" t="str" cm="1">
        <f t="array" ref="J121">_xlfn.SWITCH(D121,1,"OR",2,"ARGENT",3,"BRONZE")</f>
        <v>BRONZE</v>
      </c>
      <c r="L121" s="44"/>
    </row>
    <row r="122" spans="4:12" x14ac:dyDescent="0.25">
      <c r="D122">
        <v>3</v>
      </c>
      <c r="E122" s="11">
        <v>45505</v>
      </c>
      <c r="F122" t="s">
        <v>326</v>
      </c>
      <c r="G122">
        <v>42</v>
      </c>
      <c r="H122">
        <v>65</v>
      </c>
      <c r="I122">
        <v>1919002</v>
      </c>
      <c r="J122" s="36" t="str" cm="1">
        <f t="array" ref="J122">_xlfn.SWITCH(D122,1,"OR",2,"ARGENT",3,"BRONZE")</f>
        <v>BRONZE</v>
      </c>
      <c r="L122" s="44"/>
    </row>
    <row r="123" spans="4:12" x14ac:dyDescent="0.25">
      <c r="D123">
        <v>3</v>
      </c>
      <c r="E123" s="11">
        <v>45504</v>
      </c>
      <c r="F123" t="s">
        <v>328</v>
      </c>
      <c r="G123">
        <v>108</v>
      </c>
      <c r="H123">
        <v>7</v>
      </c>
      <c r="I123">
        <v>1919480</v>
      </c>
      <c r="J123" s="36" t="str" cm="1">
        <f t="array" ref="J123">_xlfn.SWITCH(D123,1,"OR",2,"ARGENT",3,"BRONZE")</f>
        <v>BRONZE</v>
      </c>
      <c r="L123" s="44"/>
    </row>
    <row r="124" spans="4:12" x14ac:dyDescent="0.25">
      <c r="D124">
        <v>1</v>
      </c>
      <c r="E124" s="11">
        <v>45509</v>
      </c>
      <c r="F124" t="s">
        <v>328</v>
      </c>
      <c r="G124">
        <v>108</v>
      </c>
      <c r="H124">
        <v>13</v>
      </c>
      <c r="I124">
        <v>1919480</v>
      </c>
      <c r="J124" s="36" t="str" cm="1">
        <f t="array" ref="J124">_xlfn.SWITCH(D124,1,"OR",2,"ARGENT",3,"BRONZE")</f>
        <v>OR</v>
      </c>
      <c r="L124" s="44"/>
    </row>
    <row r="125" spans="4:12" x14ac:dyDescent="0.25">
      <c r="D125">
        <v>3</v>
      </c>
      <c r="E125" s="11">
        <v>45514</v>
      </c>
      <c r="F125" t="s">
        <v>330</v>
      </c>
      <c r="G125">
        <v>108</v>
      </c>
      <c r="H125">
        <v>63</v>
      </c>
      <c r="I125">
        <v>1919914</v>
      </c>
      <c r="J125" s="36" t="str" cm="1">
        <f t="array" ref="J125">_xlfn.SWITCH(D125,1,"OR",2,"ARGENT",3,"BRONZE")</f>
        <v>BRONZE</v>
      </c>
      <c r="L125" s="44"/>
    </row>
    <row r="126" spans="4:12" x14ac:dyDescent="0.25">
      <c r="D126">
        <v>3</v>
      </c>
      <c r="E126" s="11">
        <v>45513</v>
      </c>
      <c r="F126" t="s">
        <v>332</v>
      </c>
      <c r="G126">
        <v>82</v>
      </c>
      <c r="H126">
        <v>60</v>
      </c>
      <c r="I126">
        <v>1920183</v>
      </c>
      <c r="J126" s="36" t="str" cm="1">
        <f t="array" ref="J126">_xlfn.SWITCH(D126,1,"OR",2,"ARGENT",3,"BRONZE")</f>
        <v>BRONZE</v>
      </c>
      <c r="L126" s="44"/>
    </row>
    <row r="127" spans="4:12" x14ac:dyDescent="0.25">
      <c r="D127">
        <v>3</v>
      </c>
      <c r="E127" s="11">
        <v>45504</v>
      </c>
      <c r="F127" t="s">
        <v>335</v>
      </c>
      <c r="G127">
        <v>42</v>
      </c>
      <c r="H127">
        <v>112</v>
      </c>
      <c r="I127">
        <v>1920569</v>
      </c>
      <c r="J127" s="36" t="str" cm="1">
        <f t="array" ref="J127">_xlfn.SWITCH(D127,1,"OR",2,"ARGENT",3,"BRONZE")</f>
        <v>BRONZE</v>
      </c>
      <c r="L127" s="44"/>
    </row>
    <row r="128" spans="4:12" x14ac:dyDescent="0.25">
      <c r="D128">
        <v>3</v>
      </c>
      <c r="E128" s="11">
        <v>45509</v>
      </c>
      <c r="F128" t="s">
        <v>337</v>
      </c>
      <c r="G128">
        <v>77</v>
      </c>
      <c r="H128">
        <v>48</v>
      </c>
      <c r="I128">
        <v>1924429</v>
      </c>
      <c r="J128" s="36" t="str" cm="1">
        <f t="array" ref="J128">_xlfn.SWITCH(D128,1,"OR",2,"ARGENT",3,"BRONZE")</f>
        <v>BRONZE</v>
      </c>
      <c r="L128" s="44"/>
    </row>
    <row r="129" spans="4:12" x14ac:dyDescent="0.25">
      <c r="D129">
        <v>3</v>
      </c>
      <c r="E129" s="11">
        <v>45505</v>
      </c>
      <c r="F129" t="s">
        <v>340</v>
      </c>
      <c r="G129">
        <v>104</v>
      </c>
      <c r="H129">
        <v>173</v>
      </c>
      <c r="I129">
        <v>1925349</v>
      </c>
      <c r="J129" s="36" t="str" cm="1">
        <f t="array" ref="J129">_xlfn.SWITCH(D129,1,"OR",2,"ARGENT",3,"BRONZE")</f>
        <v>BRONZE</v>
      </c>
      <c r="L129" s="44"/>
    </row>
    <row r="130" spans="4:12" x14ac:dyDescent="0.25">
      <c r="D130">
        <v>1</v>
      </c>
      <c r="E130" s="11">
        <v>45501</v>
      </c>
      <c r="F130" t="s">
        <v>343</v>
      </c>
      <c r="G130">
        <v>104</v>
      </c>
      <c r="H130">
        <v>265</v>
      </c>
      <c r="I130">
        <v>1925633</v>
      </c>
      <c r="J130" s="36" t="str" cm="1">
        <f t="array" ref="J130">_xlfn.SWITCH(D130,1,"OR",2,"ARGENT",3,"BRONZE")</f>
        <v>OR</v>
      </c>
      <c r="L130" s="44"/>
    </row>
    <row r="131" spans="4:12" x14ac:dyDescent="0.25">
      <c r="D131">
        <v>2</v>
      </c>
      <c r="E131" s="11">
        <v>45502</v>
      </c>
      <c r="F131" t="s">
        <v>346</v>
      </c>
      <c r="G131">
        <v>104</v>
      </c>
      <c r="H131">
        <v>263</v>
      </c>
      <c r="I131">
        <v>1925635</v>
      </c>
      <c r="J131" s="36" t="str" cm="1">
        <f t="array" ref="J131">_xlfn.SWITCH(D131,1,"OR",2,"ARGENT",3,"BRONZE")</f>
        <v>ARGENT</v>
      </c>
      <c r="L131" s="44"/>
    </row>
    <row r="132" spans="4:12" x14ac:dyDescent="0.25">
      <c r="D132">
        <v>1</v>
      </c>
      <c r="E132" s="11">
        <v>45510</v>
      </c>
      <c r="F132" t="s">
        <v>349</v>
      </c>
      <c r="G132">
        <v>31</v>
      </c>
      <c r="H132">
        <v>53</v>
      </c>
      <c r="I132">
        <v>1926102</v>
      </c>
      <c r="J132" s="36" t="str" cm="1">
        <f t="array" ref="J132">_xlfn.SWITCH(D132,1,"OR",2,"ARGENT",3,"BRONZE")</f>
        <v>OR</v>
      </c>
      <c r="L132" s="44"/>
    </row>
    <row r="133" spans="4:12" x14ac:dyDescent="0.25">
      <c r="D133">
        <v>2</v>
      </c>
      <c r="E133" s="11">
        <v>45514</v>
      </c>
      <c r="F133" t="s">
        <v>352</v>
      </c>
      <c r="G133">
        <v>153</v>
      </c>
      <c r="H133">
        <v>33</v>
      </c>
      <c r="I133">
        <v>1926713</v>
      </c>
      <c r="J133" s="36" t="str" cm="1">
        <f t="array" ref="J133">_xlfn.SWITCH(D133,1,"OR",2,"ARGENT",3,"BRONZE")</f>
        <v>ARGENT</v>
      </c>
      <c r="L133" s="44"/>
    </row>
    <row r="134" spans="4:12" x14ac:dyDescent="0.25">
      <c r="D134">
        <v>2</v>
      </c>
      <c r="E134" s="11">
        <v>45514</v>
      </c>
      <c r="F134" t="s">
        <v>355</v>
      </c>
      <c r="G134">
        <v>42</v>
      </c>
      <c r="H134">
        <v>93</v>
      </c>
      <c r="I134">
        <v>1926826</v>
      </c>
      <c r="J134" s="36" t="str" cm="1">
        <f t="array" ref="J134">_xlfn.SWITCH(D134,1,"OR",2,"ARGENT",3,"BRONZE")</f>
        <v>ARGENT</v>
      </c>
      <c r="L134" s="44"/>
    </row>
    <row r="135" spans="4:12" x14ac:dyDescent="0.25">
      <c r="D135">
        <v>2</v>
      </c>
      <c r="E135" s="11">
        <v>45512</v>
      </c>
      <c r="F135" t="s">
        <v>357</v>
      </c>
      <c r="G135">
        <v>42</v>
      </c>
      <c r="H135">
        <v>89</v>
      </c>
      <c r="I135">
        <v>1926832</v>
      </c>
      <c r="J135" s="36" t="str" cm="1">
        <f t="array" ref="J135">_xlfn.SWITCH(D135,1,"OR",2,"ARGENT",3,"BRONZE")</f>
        <v>ARGENT</v>
      </c>
      <c r="L135" s="44"/>
    </row>
    <row r="136" spans="4:12" x14ac:dyDescent="0.25">
      <c r="D136">
        <v>2</v>
      </c>
      <c r="E136" s="11">
        <v>45513</v>
      </c>
      <c r="F136" t="s">
        <v>359</v>
      </c>
      <c r="G136">
        <v>42</v>
      </c>
      <c r="H136">
        <v>88</v>
      </c>
      <c r="I136">
        <v>1926833</v>
      </c>
      <c r="J136" s="36" t="str" cm="1">
        <f t="array" ref="J136">_xlfn.SWITCH(D136,1,"OR",2,"ARGENT",3,"BRONZE")</f>
        <v>ARGENT</v>
      </c>
      <c r="L136" s="44"/>
    </row>
    <row r="137" spans="4:12" x14ac:dyDescent="0.25">
      <c r="D137">
        <v>1</v>
      </c>
      <c r="E137" s="11">
        <v>45500</v>
      </c>
      <c r="F137" t="s">
        <v>361</v>
      </c>
      <c r="G137">
        <v>113</v>
      </c>
      <c r="H137">
        <v>153</v>
      </c>
      <c r="I137">
        <v>1927149</v>
      </c>
      <c r="J137" s="36" t="str" cm="1">
        <f t="array" ref="J137">_xlfn.SWITCH(D137,1,"OR",2,"ARGENT",3,"BRONZE")</f>
        <v>OR</v>
      </c>
      <c r="L137" s="44"/>
    </row>
    <row r="138" spans="4:12" x14ac:dyDescent="0.25">
      <c r="D138">
        <v>2</v>
      </c>
      <c r="E138" s="11">
        <v>45507</v>
      </c>
      <c r="F138" t="s">
        <v>363</v>
      </c>
      <c r="G138">
        <v>102</v>
      </c>
      <c r="H138">
        <v>205</v>
      </c>
      <c r="I138">
        <v>1927680</v>
      </c>
      <c r="J138" s="36" t="str" cm="1">
        <f t="array" ref="J138">_xlfn.SWITCH(D138,1,"OR",2,"ARGENT",3,"BRONZE")</f>
        <v>ARGENT</v>
      </c>
      <c r="L138" s="44"/>
    </row>
    <row r="139" spans="4:12" x14ac:dyDescent="0.25">
      <c r="D139">
        <v>2</v>
      </c>
      <c r="E139" s="11">
        <v>45872</v>
      </c>
      <c r="F139" t="s">
        <v>366</v>
      </c>
      <c r="G139">
        <v>42</v>
      </c>
      <c r="H139">
        <v>289</v>
      </c>
      <c r="I139">
        <v>1927709</v>
      </c>
      <c r="J139" s="36" t="str" cm="1">
        <f t="array" ref="J139">_xlfn.SWITCH(D139,1,"OR",2,"ARGENT",3,"BRONZE")</f>
        <v>ARGENT</v>
      </c>
      <c r="L139" s="44"/>
    </row>
    <row r="140" spans="4:12" x14ac:dyDescent="0.25">
      <c r="D140">
        <v>3</v>
      </c>
      <c r="E140" s="11">
        <v>45505</v>
      </c>
      <c r="F140" t="s">
        <v>368</v>
      </c>
      <c r="G140">
        <v>61</v>
      </c>
      <c r="H140">
        <v>42</v>
      </c>
      <c r="I140">
        <v>1929767</v>
      </c>
      <c r="J140" s="36" t="str" cm="1">
        <f t="array" ref="J140">_xlfn.SWITCH(D140,1,"OR",2,"ARGENT",3,"BRONZE")</f>
        <v>BRONZE</v>
      </c>
      <c r="L140" s="44"/>
    </row>
    <row r="141" spans="4:12" x14ac:dyDescent="0.25">
      <c r="D141">
        <v>1</v>
      </c>
      <c r="E141" s="11">
        <v>45514</v>
      </c>
      <c r="F141" t="s">
        <v>371</v>
      </c>
      <c r="G141">
        <v>62</v>
      </c>
      <c r="H141">
        <v>186</v>
      </c>
      <c r="I141">
        <v>1932649</v>
      </c>
      <c r="J141" s="36" t="str" cm="1">
        <f t="array" ref="J141">_xlfn.SWITCH(D141,1,"OR",2,"ARGENT",3,"BRONZE")</f>
        <v>OR</v>
      </c>
      <c r="L141" s="44"/>
    </row>
    <row r="142" spans="4:12" x14ac:dyDescent="0.25">
      <c r="D142">
        <v>1</v>
      </c>
      <c r="E142" s="11">
        <v>45500</v>
      </c>
      <c r="F142" t="s">
        <v>374</v>
      </c>
      <c r="G142">
        <v>109</v>
      </c>
      <c r="H142">
        <v>175</v>
      </c>
      <c r="I142">
        <v>1935408</v>
      </c>
      <c r="J142" s="36" t="str" cm="1">
        <f t="array" ref="J142">_xlfn.SWITCH(D142,1,"OR",2,"ARGENT",3,"BRONZE")</f>
        <v>OR</v>
      </c>
      <c r="L142" s="44"/>
    </row>
    <row r="143" spans="4:12" x14ac:dyDescent="0.25">
      <c r="D143">
        <v>1</v>
      </c>
      <c r="E143" s="11">
        <v>45515</v>
      </c>
      <c r="F143" t="s">
        <v>377</v>
      </c>
      <c r="G143">
        <v>93</v>
      </c>
      <c r="H143">
        <v>185</v>
      </c>
      <c r="I143">
        <v>1936619</v>
      </c>
      <c r="J143" s="36" t="str" cm="1">
        <f t="array" ref="J143">_xlfn.SWITCH(D143,1,"OR",2,"ARGENT",3,"BRONZE")</f>
        <v>OR</v>
      </c>
      <c r="L143" s="44"/>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41419-573D-4E9E-9AEE-43D8C466D213}">
  <sheetPr>
    <tabColor theme="6"/>
  </sheetPr>
  <dimension ref="A1:M39"/>
  <sheetViews>
    <sheetView workbookViewId="0">
      <selection activeCell="A32" sqref="A32:D39"/>
    </sheetView>
  </sheetViews>
  <sheetFormatPr baseColWidth="10" defaultColWidth="9.140625" defaultRowHeight="15" x14ac:dyDescent="0.25"/>
  <cols>
    <col min="1" max="1" width="19.140625" customWidth="1"/>
    <col min="6" max="6" width="13.5703125" style="6" bestFit="1" customWidth="1"/>
    <col min="8" max="8" width="13.85546875" customWidth="1"/>
    <col min="13" max="13" width="12.28515625" customWidth="1"/>
  </cols>
  <sheetData>
    <row r="1" spans="1:13" s="21" customFormat="1" ht="73.5" customHeight="1" x14ac:dyDescent="0.25">
      <c r="A1" s="21" t="e" vm="1">
        <f>Variables!$A$1</f>
        <v>#VALUE!</v>
      </c>
      <c r="H1" s="41"/>
    </row>
    <row r="2" spans="1:13" s="37" customFormat="1" ht="8.1" customHeight="1" x14ac:dyDescent="0.25">
      <c r="H2" s="42"/>
    </row>
    <row r="4" spans="1:13" x14ac:dyDescent="0.25">
      <c r="A4" s="18" t="s">
        <v>1970</v>
      </c>
      <c r="H4" s="19" t="s">
        <v>1971</v>
      </c>
    </row>
    <row r="6" spans="1:13" x14ac:dyDescent="0.25">
      <c r="A6" s="18" t="s">
        <v>1972</v>
      </c>
      <c r="B6" s="18" t="s">
        <v>1964</v>
      </c>
      <c r="C6" s="18" t="s">
        <v>1965</v>
      </c>
      <c r="D6" s="18" t="s">
        <v>1966</v>
      </c>
      <c r="E6" s="18" t="s">
        <v>1945</v>
      </c>
      <c r="F6" s="18" t="s">
        <v>1973</v>
      </c>
      <c r="H6" t="s">
        <v>1972</v>
      </c>
      <c r="I6" t="s">
        <v>1964</v>
      </c>
      <c r="J6" t="s">
        <v>1965</v>
      </c>
      <c r="K6" t="s">
        <v>1966</v>
      </c>
      <c r="L6" t="s">
        <v>1945</v>
      </c>
      <c r="M6" t="s">
        <v>1973</v>
      </c>
    </row>
    <row r="7" spans="1:13" x14ac:dyDescent="0.25">
      <c r="A7" t="s">
        <v>1974</v>
      </c>
      <c r="B7">
        <v>100</v>
      </c>
      <c r="C7">
        <v>200</v>
      </c>
      <c r="D7">
        <v>300</v>
      </c>
      <c r="E7">
        <f t="shared" ref="E7:E20" si="0">SUM(B7:D7)</f>
        <v>600</v>
      </c>
      <c r="F7">
        <f>'12. TABLEAU + GRAPHE'!E7*(1+tax10pc)</f>
        <v>660</v>
      </c>
      <c r="H7" t="s">
        <v>1974</v>
      </c>
      <c r="I7">
        <v>100</v>
      </c>
      <c r="J7">
        <v>200</v>
      </c>
      <c r="K7">
        <v>300</v>
      </c>
      <c r="L7">
        <f t="shared" ref="L7:L20" si="1">SUM(I7:K7)</f>
        <v>600</v>
      </c>
      <c r="M7">
        <f>'12. TABLEAU + GRAPHE'!L7*(1+tax10pc)</f>
        <v>660</v>
      </c>
    </row>
    <row r="8" spans="1:13" x14ac:dyDescent="0.25">
      <c r="A8" t="s">
        <v>1975</v>
      </c>
      <c r="B8">
        <v>110</v>
      </c>
      <c r="C8">
        <v>205</v>
      </c>
      <c r="D8">
        <v>302</v>
      </c>
      <c r="E8">
        <f t="shared" si="0"/>
        <v>617</v>
      </c>
      <c r="F8">
        <f>'12. TABLEAU + GRAPHE'!E8*(1+tax10pc)</f>
        <v>678.7</v>
      </c>
      <c r="H8" t="s">
        <v>1975</v>
      </c>
      <c r="I8">
        <v>110</v>
      </c>
      <c r="J8">
        <v>205</v>
      </c>
      <c r="K8">
        <v>302</v>
      </c>
      <c r="L8">
        <f t="shared" si="1"/>
        <v>617</v>
      </c>
      <c r="M8">
        <f>'12. TABLEAU + GRAPHE'!L8*(1+tax10pc)</f>
        <v>678.7</v>
      </c>
    </row>
    <row r="9" spans="1:13" x14ac:dyDescent="0.25">
      <c r="A9" t="s">
        <v>1976</v>
      </c>
      <c r="B9">
        <v>120</v>
      </c>
      <c r="C9">
        <v>210</v>
      </c>
      <c r="D9">
        <v>304</v>
      </c>
      <c r="E9">
        <f t="shared" si="0"/>
        <v>634</v>
      </c>
      <c r="F9">
        <f>'12. TABLEAU + GRAPHE'!E9*(1+tax10pc)</f>
        <v>697.40000000000009</v>
      </c>
      <c r="H9" t="s">
        <v>1976</v>
      </c>
      <c r="I9">
        <v>120</v>
      </c>
      <c r="J9">
        <v>210</v>
      </c>
      <c r="K9">
        <v>304</v>
      </c>
      <c r="L9">
        <f t="shared" si="1"/>
        <v>634</v>
      </c>
      <c r="M9">
        <f>'12. TABLEAU + GRAPHE'!L9*(1+tax10pc)</f>
        <v>697.40000000000009</v>
      </c>
    </row>
    <row r="10" spans="1:13" x14ac:dyDescent="0.25">
      <c r="A10" t="s">
        <v>1977</v>
      </c>
      <c r="B10">
        <v>130</v>
      </c>
      <c r="C10">
        <v>215</v>
      </c>
      <c r="D10">
        <v>306</v>
      </c>
      <c r="E10">
        <f t="shared" si="0"/>
        <v>651</v>
      </c>
      <c r="F10">
        <f>'12. TABLEAU + GRAPHE'!E10*(1+tax10pc)</f>
        <v>716.1</v>
      </c>
      <c r="H10" t="s">
        <v>1977</v>
      </c>
      <c r="I10">
        <v>130</v>
      </c>
      <c r="J10">
        <v>215</v>
      </c>
      <c r="K10">
        <v>306</v>
      </c>
      <c r="L10">
        <f t="shared" si="1"/>
        <v>651</v>
      </c>
      <c r="M10">
        <f>'12. TABLEAU + GRAPHE'!L10*(1+tax10pc)</f>
        <v>716.1</v>
      </c>
    </row>
    <row r="11" spans="1:13" x14ac:dyDescent="0.25">
      <c r="A11" t="s">
        <v>1978</v>
      </c>
      <c r="B11">
        <v>140</v>
      </c>
      <c r="C11">
        <v>220</v>
      </c>
      <c r="D11">
        <v>308</v>
      </c>
      <c r="E11">
        <f t="shared" si="0"/>
        <v>668</v>
      </c>
      <c r="F11">
        <f>'12. TABLEAU + GRAPHE'!E11*(1+tax10pc)</f>
        <v>734.80000000000007</v>
      </c>
      <c r="H11" t="s">
        <v>1978</v>
      </c>
      <c r="I11">
        <v>140</v>
      </c>
      <c r="J11">
        <v>220</v>
      </c>
      <c r="K11">
        <v>308</v>
      </c>
      <c r="L11">
        <f t="shared" si="1"/>
        <v>668</v>
      </c>
      <c r="M11">
        <f>'12. TABLEAU + GRAPHE'!L11*(1+tax10pc)</f>
        <v>734.80000000000007</v>
      </c>
    </row>
    <row r="12" spans="1:13" x14ac:dyDescent="0.25">
      <c r="A12" t="s">
        <v>1979</v>
      </c>
      <c r="B12">
        <v>150</v>
      </c>
      <c r="C12">
        <v>225</v>
      </c>
      <c r="D12">
        <v>310</v>
      </c>
      <c r="E12">
        <f t="shared" si="0"/>
        <v>685</v>
      </c>
      <c r="F12">
        <f>'12. TABLEAU + GRAPHE'!E12*(1+tax10pc)</f>
        <v>753.50000000000011</v>
      </c>
      <c r="H12" t="s">
        <v>1979</v>
      </c>
      <c r="I12">
        <v>150</v>
      </c>
      <c r="J12">
        <v>225</v>
      </c>
      <c r="K12">
        <v>310</v>
      </c>
      <c r="L12">
        <f t="shared" si="1"/>
        <v>685</v>
      </c>
      <c r="M12">
        <f>'12. TABLEAU + GRAPHE'!L12*(1+tax10pc)</f>
        <v>753.50000000000011</v>
      </c>
    </row>
    <row r="13" spans="1:13" x14ac:dyDescent="0.25">
      <c r="A13" t="s">
        <v>1980</v>
      </c>
      <c r="B13">
        <v>160</v>
      </c>
      <c r="C13">
        <v>230</v>
      </c>
      <c r="D13">
        <v>312</v>
      </c>
      <c r="E13">
        <f t="shared" si="0"/>
        <v>702</v>
      </c>
      <c r="F13">
        <f>'12. TABLEAU + GRAPHE'!E13*(1+tax10pc)</f>
        <v>772.2</v>
      </c>
      <c r="H13" t="s">
        <v>1980</v>
      </c>
      <c r="I13">
        <v>160</v>
      </c>
      <c r="J13">
        <v>230</v>
      </c>
      <c r="K13">
        <v>312</v>
      </c>
      <c r="L13">
        <f t="shared" si="1"/>
        <v>702</v>
      </c>
      <c r="M13">
        <f>'12. TABLEAU + GRAPHE'!L13*(1+tax10pc)</f>
        <v>772.2</v>
      </c>
    </row>
    <row r="14" spans="1:13" x14ac:dyDescent="0.25">
      <c r="A14" t="s">
        <v>1981</v>
      </c>
      <c r="B14">
        <v>170</v>
      </c>
      <c r="C14">
        <v>235</v>
      </c>
      <c r="D14">
        <v>314</v>
      </c>
      <c r="E14">
        <f t="shared" si="0"/>
        <v>719</v>
      </c>
      <c r="F14">
        <f>'12. TABLEAU + GRAPHE'!E14*(1+tax10pc)</f>
        <v>790.90000000000009</v>
      </c>
      <c r="H14" t="s">
        <v>1981</v>
      </c>
      <c r="I14">
        <v>170</v>
      </c>
      <c r="J14">
        <v>235</v>
      </c>
      <c r="K14">
        <v>314</v>
      </c>
      <c r="L14">
        <f t="shared" si="1"/>
        <v>719</v>
      </c>
      <c r="M14">
        <f>'12. TABLEAU + GRAPHE'!L14*(1+tax10pc)</f>
        <v>790.90000000000009</v>
      </c>
    </row>
    <row r="15" spans="1:13" x14ac:dyDescent="0.25">
      <c r="A15" t="s">
        <v>1982</v>
      </c>
      <c r="B15">
        <v>180</v>
      </c>
      <c r="C15">
        <v>240</v>
      </c>
      <c r="D15">
        <v>316</v>
      </c>
      <c r="E15">
        <f t="shared" si="0"/>
        <v>736</v>
      </c>
      <c r="F15">
        <f>'12. TABLEAU + GRAPHE'!E15*(1+tax10pc)</f>
        <v>809.6</v>
      </c>
      <c r="H15" t="s">
        <v>1982</v>
      </c>
      <c r="I15">
        <v>180</v>
      </c>
      <c r="J15">
        <v>240</v>
      </c>
      <c r="K15">
        <v>316</v>
      </c>
      <c r="L15">
        <f t="shared" si="1"/>
        <v>736</v>
      </c>
      <c r="M15">
        <f>'12. TABLEAU + GRAPHE'!L15*(1+tax10pc)</f>
        <v>809.6</v>
      </c>
    </row>
    <row r="16" spans="1:13" x14ac:dyDescent="0.25">
      <c r="A16" t="s">
        <v>1983</v>
      </c>
      <c r="B16">
        <v>190</v>
      </c>
      <c r="C16">
        <v>245</v>
      </c>
      <c r="D16">
        <v>318</v>
      </c>
      <c r="E16">
        <f t="shared" si="0"/>
        <v>753</v>
      </c>
      <c r="F16">
        <f>'12. TABLEAU + GRAPHE'!E16*(1+tax10pc)</f>
        <v>828.30000000000007</v>
      </c>
      <c r="H16" t="s">
        <v>1983</v>
      </c>
      <c r="I16">
        <v>190</v>
      </c>
      <c r="J16">
        <v>245</v>
      </c>
      <c r="K16">
        <v>318</v>
      </c>
      <c r="L16">
        <f t="shared" si="1"/>
        <v>753</v>
      </c>
      <c r="M16">
        <f>'12. TABLEAU + GRAPHE'!L16*(1+tax10pc)</f>
        <v>828.30000000000007</v>
      </c>
    </row>
    <row r="17" spans="1:13" x14ac:dyDescent="0.25">
      <c r="A17" t="s">
        <v>1984</v>
      </c>
      <c r="B17">
        <v>200</v>
      </c>
      <c r="C17">
        <v>250</v>
      </c>
      <c r="D17">
        <v>320</v>
      </c>
      <c r="E17">
        <f t="shared" si="0"/>
        <v>770</v>
      </c>
      <c r="F17">
        <f>'12. TABLEAU + GRAPHE'!E17*(1+tax10pc)</f>
        <v>847.00000000000011</v>
      </c>
      <c r="H17" t="s">
        <v>1984</v>
      </c>
      <c r="I17">
        <v>200</v>
      </c>
      <c r="J17">
        <v>250</v>
      </c>
      <c r="K17">
        <v>320</v>
      </c>
      <c r="L17">
        <f t="shared" si="1"/>
        <v>770</v>
      </c>
      <c r="M17">
        <f>'12. TABLEAU + GRAPHE'!L17*(1+tax10pc)</f>
        <v>847.00000000000011</v>
      </c>
    </row>
    <row r="18" spans="1:13" x14ac:dyDescent="0.25">
      <c r="A18" t="s">
        <v>1985</v>
      </c>
      <c r="B18">
        <v>210</v>
      </c>
      <c r="C18">
        <v>255</v>
      </c>
      <c r="D18">
        <v>322</v>
      </c>
      <c r="E18">
        <f t="shared" si="0"/>
        <v>787</v>
      </c>
      <c r="F18">
        <f>'12. TABLEAU + GRAPHE'!E18*(1+tax10pc)</f>
        <v>865.7</v>
      </c>
      <c r="H18" t="s">
        <v>1985</v>
      </c>
      <c r="I18">
        <v>210</v>
      </c>
      <c r="J18">
        <v>255</v>
      </c>
      <c r="K18">
        <v>322</v>
      </c>
      <c r="L18">
        <f t="shared" si="1"/>
        <v>787</v>
      </c>
      <c r="M18">
        <f>'12. TABLEAU + GRAPHE'!L18*(1+tax10pc)</f>
        <v>865.7</v>
      </c>
    </row>
    <row r="19" spans="1:13" x14ac:dyDescent="0.25">
      <c r="A19" t="s">
        <v>1986</v>
      </c>
      <c r="B19">
        <v>220</v>
      </c>
      <c r="C19">
        <v>260</v>
      </c>
      <c r="D19">
        <v>324</v>
      </c>
      <c r="E19">
        <f t="shared" si="0"/>
        <v>804</v>
      </c>
      <c r="F19">
        <f>'12. TABLEAU + GRAPHE'!E19*(1+tax10pc)</f>
        <v>884.40000000000009</v>
      </c>
      <c r="H19" t="s">
        <v>1986</v>
      </c>
      <c r="I19">
        <v>220</v>
      </c>
      <c r="J19">
        <v>260</v>
      </c>
      <c r="K19">
        <v>324</v>
      </c>
      <c r="L19">
        <f t="shared" si="1"/>
        <v>804</v>
      </c>
      <c r="M19">
        <f>'12. TABLEAU + GRAPHE'!L19*(1+tax10pc)</f>
        <v>884.40000000000009</v>
      </c>
    </row>
    <row r="20" spans="1:13" x14ac:dyDescent="0.25">
      <c r="A20" t="s">
        <v>1987</v>
      </c>
      <c r="B20">
        <v>230</v>
      </c>
      <c r="C20">
        <v>265</v>
      </c>
      <c r="D20">
        <v>326</v>
      </c>
      <c r="E20">
        <f t="shared" si="0"/>
        <v>821</v>
      </c>
      <c r="F20">
        <f>'12. TABLEAU + GRAPHE'!E20*(1+tax10pc)</f>
        <v>903.1</v>
      </c>
      <c r="H20" t="s">
        <v>1987</v>
      </c>
      <c r="I20">
        <v>230</v>
      </c>
      <c r="J20">
        <v>265</v>
      </c>
      <c r="K20">
        <v>326</v>
      </c>
      <c r="L20">
        <f t="shared" si="1"/>
        <v>821</v>
      </c>
      <c r="M20">
        <f>'12. TABLEAU + GRAPHE'!L20*(1+tax10pc)</f>
        <v>903.1</v>
      </c>
    </row>
    <row r="21" spans="1:13" x14ac:dyDescent="0.25">
      <c r="F21"/>
    </row>
    <row r="22" spans="1:13" x14ac:dyDescent="0.25">
      <c r="F22"/>
    </row>
    <row r="23" spans="1:13" x14ac:dyDescent="0.25">
      <c r="F23"/>
    </row>
    <row r="24" spans="1:13" x14ac:dyDescent="0.25">
      <c r="F24"/>
    </row>
    <row r="25" spans="1:13" x14ac:dyDescent="0.25">
      <c r="F25"/>
    </row>
    <row r="26" spans="1:13" x14ac:dyDescent="0.25">
      <c r="F26"/>
    </row>
    <row r="27" spans="1:13" x14ac:dyDescent="0.25">
      <c r="F27"/>
    </row>
    <row r="28" spans="1:13" x14ac:dyDescent="0.25">
      <c r="F28"/>
    </row>
    <row r="29" spans="1:13" x14ac:dyDescent="0.25">
      <c r="F29"/>
    </row>
    <row r="32" spans="1:13" x14ac:dyDescent="0.25">
      <c r="A32" t="s">
        <v>1988</v>
      </c>
    </row>
    <row r="33" spans="1:4" x14ac:dyDescent="0.25">
      <c r="A33" t="s">
        <v>1989</v>
      </c>
      <c r="B33">
        <v>155</v>
      </c>
      <c r="C33">
        <v>112</v>
      </c>
      <c r="D33">
        <v>188</v>
      </c>
    </row>
    <row r="34" spans="1:4" x14ac:dyDescent="0.25">
      <c r="A34" t="s">
        <v>1990</v>
      </c>
      <c r="B34">
        <v>165</v>
      </c>
      <c r="C34">
        <v>225</v>
      </c>
      <c r="D34">
        <v>152</v>
      </c>
    </row>
    <row r="35" spans="1:4" x14ac:dyDescent="0.25">
      <c r="A35" t="s">
        <v>1991</v>
      </c>
      <c r="B35">
        <v>190</v>
      </c>
      <c r="C35">
        <v>214</v>
      </c>
      <c r="D35">
        <v>245</v>
      </c>
    </row>
    <row r="36" spans="1:4" x14ac:dyDescent="0.25">
      <c r="A36" t="s">
        <v>1992</v>
      </c>
      <c r="B36">
        <v>210</v>
      </c>
      <c r="C36">
        <v>258</v>
      </c>
      <c r="D36">
        <v>354</v>
      </c>
    </row>
    <row r="37" spans="1:4" x14ac:dyDescent="0.25">
      <c r="A37" t="s">
        <v>1993</v>
      </c>
      <c r="B37">
        <v>224</v>
      </c>
      <c r="C37">
        <v>301</v>
      </c>
      <c r="D37">
        <v>321</v>
      </c>
    </row>
    <row r="38" spans="1:4" x14ac:dyDescent="0.25">
      <c r="A38" t="s">
        <v>1994</v>
      </c>
      <c r="B38">
        <v>290</v>
      </c>
      <c r="C38">
        <v>340</v>
      </c>
      <c r="D38">
        <v>365</v>
      </c>
    </row>
    <row r="39" spans="1:4" x14ac:dyDescent="0.25">
      <c r="A39" t="s">
        <v>1995</v>
      </c>
      <c r="B39">
        <v>190</v>
      </c>
      <c r="C39">
        <v>170</v>
      </c>
      <c r="D39">
        <v>300</v>
      </c>
    </row>
  </sheetData>
  <autoFilter ref="A6:F29" xr:uid="{D3641419-573D-4E9E-9AEE-43D8C466D213}">
    <sortState xmlns:xlrd2="http://schemas.microsoft.com/office/spreadsheetml/2017/richdata2" ref="A7:F29">
      <sortCondition ref="A6:A29"/>
    </sortState>
  </autoFilter>
  <phoneticPr fontId="2" type="noConversion"/>
  <pageMargins left="0.7" right="0.7" top="0.75" bottom="0.75" header="0.3" footer="0.3"/>
  <drawing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F0959-4C38-4A30-875D-B4506D14862A}">
  <dimension ref="A1:H15"/>
  <sheetViews>
    <sheetView workbookViewId="0"/>
  </sheetViews>
  <sheetFormatPr baseColWidth="10" defaultColWidth="9.140625" defaultRowHeight="15" x14ac:dyDescent="0.25"/>
  <cols>
    <col min="1" max="1" width="15.7109375" customWidth="1"/>
  </cols>
  <sheetData>
    <row r="1" spans="1:8" ht="75" customHeight="1" x14ac:dyDescent="0.25">
      <c r="A1" t="e" vm="2">
        <v>#VALUE!</v>
      </c>
    </row>
    <row r="2" spans="1:8" x14ac:dyDescent="0.25">
      <c r="A2" t="s">
        <v>1996</v>
      </c>
      <c r="B2" s="1">
        <v>0.08</v>
      </c>
    </row>
    <row r="3" spans="1:8" x14ac:dyDescent="0.25">
      <c r="G3" t="s">
        <v>1997</v>
      </c>
      <c r="H3" s="7">
        <v>8.6999999999999994E-2</v>
      </c>
    </row>
    <row r="4" spans="1:8" x14ac:dyDescent="0.25">
      <c r="A4" t="s">
        <v>1996</v>
      </c>
      <c r="B4" s="1">
        <v>0.1</v>
      </c>
      <c r="G4" t="s">
        <v>1998</v>
      </c>
      <c r="H4" s="7">
        <v>0.1</v>
      </c>
    </row>
    <row r="5" spans="1:8" x14ac:dyDescent="0.25">
      <c r="G5" t="s">
        <v>1999</v>
      </c>
      <c r="H5" s="7">
        <v>0.19800000000000001</v>
      </c>
    </row>
    <row r="6" spans="1:8" x14ac:dyDescent="0.25">
      <c r="A6" t="s">
        <v>1996</v>
      </c>
      <c r="B6" s="1">
        <v>0.12</v>
      </c>
      <c r="G6" t="s">
        <v>2000</v>
      </c>
      <c r="H6" s="7">
        <v>0.08</v>
      </c>
    </row>
    <row r="7" spans="1:8" x14ac:dyDescent="0.25">
      <c r="G7" t="s">
        <v>2001</v>
      </c>
      <c r="H7" s="7">
        <v>0.09</v>
      </c>
    </row>
    <row r="8" spans="1:8" x14ac:dyDescent="0.25">
      <c r="A8" t="s">
        <v>1996</v>
      </c>
      <c r="B8" s="1">
        <v>0.1</v>
      </c>
      <c r="G8" t="s">
        <v>2002</v>
      </c>
      <c r="H8" s="7">
        <v>9.8000000000000004E-2</v>
      </c>
    </row>
    <row r="10" spans="1:8" x14ac:dyDescent="0.25">
      <c r="B10" t="s">
        <v>2003</v>
      </c>
    </row>
    <row r="11" spans="1:8" ht="18.75" x14ac:dyDescent="0.3">
      <c r="B11" s="50" t="s">
        <v>2004</v>
      </c>
    </row>
    <row r="12" spans="1:8" ht="18.75" x14ac:dyDescent="0.3">
      <c r="B12" s="50" t="s">
        <v>2005</v>
      </c>
    </row>
    <row r="13" spans="1:8" ht="18.75" x14ac:dyDescent="0.3">
      <c r="B13" s="50" t="s">
        <v>2006</v>
      </c>
    </row>
    <row r="14" spans="1:8" ht="18.75" x14ac:dyDescent="0.3">
      <c r="B14" s="50" t="s">
        <v>2007</v>
      </c>
    </row>
    <row r="15" spans="1:8" ht="18.75" x14ac:dyDescent="0.3">
      <c r="B15" s="50" t="s">
        <v>2008</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2A940-CF94-4F8A-8528-70772D51303A}">
  <sheetPr>
    <tabColor rgb="FFFFC000"/>
  </sheetPr>
  <dimension ref="A1:F24"/>
  <sheetViews>
    <sheetView workbookViewId="0"/>
  </sheetViews>
  <sheetFormatPr baseColWidth="10" defaultColWidth="9.140625" defaultRowHeight="15" x14ac:dyDescent="0.25"/>
  <cols>
    <col min="1" max="1" width="11.85546875" customWidth="1"/>
    <col min="6" max="6" width="13.5703125" bestFit="1" customWidth="1"/>
  </cols>
  <sheetData>
    <row r="1" spans="1:6" x14ac:dyDescent="0.25">
      <c r="A1" t="s">
        <v>2035</v>
      </c>
      <c r="B1" t="s">
        <v>1964</v>
      </c>
      <c r="C1" t="s">
        <v>1965</v>
      </c>
      <c r="D1" s="2" t="s">
        <v>1966</v>
      </c>
      <c r="E1" t="s">
        <v>1945</v>
      </c>
      <c r="F1" s="6" t="s">
        <v>1973</v>
      </c>
    </row>
    <row r="2" spans="1:6" x14ac:dyDescent="0.25">
      <c r="A2" t="s">
        <v>1997</v>
      </c>
      <c r="B2">
        <v>100</v>
      </c>
      <c r="C2">
        <v>200</v>
      </c>
      <c r="D2">
        <v>300</v>
      </c>
      <c r="E2">
        <f t="shared" ref="E2:E24" si="0">SUM(B2:D2)</f>
        <v>600</v>
      </c>
      <c r="F2" s="6">
        <f>tbl_xlookup[[#This Row],[TOTAL]]*(1+_xlfn.XLOOKUP(tbl_xlookup[[#This Row],[COUNTRY]],Variables!$G$3:$G$8,Variables!$H$3:$H$8,,0))</f>
        <v>652.19999999999993</v>
      </c>
    </row>
    <row r="3" spans="1:6" x14ac:dyDescent="0.25">
      <c r="A3" t="s">
        <v>2000</v>
      </c>
      <c r="B3">
        <v>110</v>
      </c>
      <c r="C3">
        <v>205</v>
      </c>
      <c r="D3">
        <v>302</v>
      </c>
      <c r="E3">
        <f t="shared" si="0"/>
        <v>617</v>
      </c>
      <c r="F3" s="6">
        <f>tbl_xlookup[[#This Row],[TOTAL]]*(1+_xlfn.XLOOKUP(tbl_xlookup[[#This Row],[COUNTRY]],Variables!$G$3:$G$8,Variables!$H$3:$H$8,,0))</f>
        <v>666.36</v>
      </c>
    </row>
    <row r="4" spans="1:6" x14ac:dyDescent="0.25">
      <c r="A4" t="s">
        <v>2000</v>
      </c>
      <c r="B4">
        <v>120</v>
      </c>
      <c r="C4">
        <v>210</v>
      </c>
      <c r="D4">
        <v>304</v>
      </c>
      <c r="E4">
        <f t="shared" si="0"/>
        <v>634</v>
      </c>
      <c r="F4" s="6">
        <f>tbl_xlookup[[#This Row],[TOTAL]]*(1+_xlfn.XLOOKUP(tbl_xlookup[[#This Row],[COUNTRY]],Variables!$G$3:$G$8,Variables!$H$3:$H$8,,0))</f>
        <v>684.72</v>
      </c>
    </row>
    <row r="5" spans="1:6" x14ac:dyDescent="0.25">
      <c r="A5" t="s">
        <v>1997</v>
      </c>
      <c r="B5">
        <v>130</v>
      </c>
      <c r="C5">
        <v>215</v>
      </c>
      <c r="D5">
        <v>306</v>
      </c>
      <c r="E5">
        <f t="shared" si="0"/>
        <v>651</v>
      </c>
      <c r="F5" s="6">
        <f>tbl_xlookup[[#This Row],[TOTAL]]*(1+_xlfn.XLOOKUP(tbl_xlookup[[#This Row],[COUNTRY]],Variables!$G$3:$G$8,Variables!$H$3:$H$8,,0))</f>
        <v>707.63699999999994</v>
      </c>
    </row>
    <row r="6" spans="1:6" x14ac:dyDescent="0.25">
      <c r="A6" t="s">
        <v>1997</v>
      </c>
      <c r="B6">
        <v>140</v>
      </c>
      <c r="C6">
        <v>220</v>
      </c>
      <c r="D6">
        <v>308</v>
      </c>
      <c r="E6">
        <f t="shared" si="0"/>
        <v>668</v>
      </c>
      <c r="F6" s="6">
        <f>tbl_xlookup[[#This Row],[TOTAL]]*(1+_xlfn.XLOOKUP(tbl_xlookup[[#This Row],[COUNTRY]],Variables!$G$3:$G$8,Variables!$H$3:$H$8,,0))</f>
        <v>726.11599999999999</v>
      </c>
    </row>
    <row r="7" spans="1:6" x14ac:dyDescent="0.25">
      <c r="A7" t="s">
        <v>1998</v>
      </c>
      <c r="B7">
        <v>150</v>
      </c>
      <c r="C7">
        <v>225</v>
      </c>
      <c r="D7">
        <v>310</v>
      </c>
      <c r="E7">
        <f t="shared" si="0"/>
        <v>685</v>
      </c>
      <c r="F7" s="6">
        <f>tbl_xlookup[[#This Row],[TOTAL]]*(1+_xlfn.XLOOKUP(tbl_xlookup[[#This Row],[COUNTRY]],Variables!$G$3:$G$8,Variables!$H$3:$H$8,,0))</f>
        <v>753.50000000000011</v>
      </c>
    </row>
    <row r="8" spans="1:6" x14ac:dyDescent="0.25">
      <c r="A8" t="s">
        <v>1998</v>
      </c>
      <c r="B8">
        <v>160</v>
      </c>
      <c r="C8">
        <v>230</v>
      </c>
      <c r="D8">
        <v>312</v>
      </c>
      <c r="E8">
        <f t="shared" si="0"/>
        <v>702</v>
      </c>
      <c r="F8" s="6">
        <f>tbl_xlookup[[#This Row],[TOTAL]]*(1+_xlfn.XLOOKUP(tbl_xlookup[[#This Row],[COUNTRY]],Variables!$G$3:$G$8,Variables!$H$3:$H$8,,0))</f>
        <v>772.2</v>
      </c>
    </row>
    <row r="9" spans="1:6" x14ac:dyDescent="0.25">
      <c r="A9" t="s">
        <v>2002</v>
      </c>
      <c r="B9">
        <v>170</v>
      </c>
      <c r="C9">
        <v>235</v>
      </c>
      <c r="D9">
        <v>314</v>
      </c>
      <c r="E9">
        <f t="shared" si="0"/>
        <v>719</v>
      </c>
      <c r="F9" s="6">
        <f>tbl_xlookup[[#This Row],[TOTAL]]*(1+_xlfn.XLOOKUP(tbl_xlookup[[#This Row],[COUNTRY]],Variables!$G$3:$G$8,Variables!$H$3:$H$8,,0))</f>
        <v>789.4620000000001</v>
      </c>
    </row>
    <row r="10" spans="1:6" x14ac:dyDescent="0.25">
      <c r="A10" t="s">
        <v>2002</v>
      </c>
      <c r="B10">
        <v>180</v>
      </c>
      <c r="C10">
        <v>240</v>
      </c>
      <c r="D10">
        <v>316</v>
      </c>
      <c r="E10">
        <f t="shared" si="0"/>
        <v>736</v>
      </c>
      <c r="F10" s="6">
        <f>tbl_xlookup[[#This Row],[TOTAL]]*(1+_xlfn.XLOOKUP(tbl_xlookup[[#This Row],[COUNTRY]],Variables!$G$3:$G$8,Variables!$H$3:$H$8,,0))</f>
        <v>808.12800000000004</v>
      </c>
    </row>
    <row r="11" spans="1:6" x14ac:dyDescent="0.25">
      <c r="A11" t="s">
        <v>2002</v>
      </c>
      <c r="B11">
        <v>190</v>
      </c>
      <c r="C11">
        <v>245</v>
      </c>
      <c r="D11">
        <v>318</v>
      </c>
      <c r="E11">
        <f t="shared" si="0"/>
        <v>753</v>
      </c>
      <c r="F11" s="6">
        <f>tbl_xlookup[[#This Row],[TOTAL]]*(1+_xlfn.XLOOKUP(tbl_xlookup[[#This Row],[COUNTRY]],Variables!$G$3:$G$8,Variables!$H$3:$H$8,,0))</f>
        <v>826.7940000000001</v>
      </c>
    </row>
    <row r="12" spans="1:6" x14ac:dyDescent="0.25">
      <c r="A12" t="s">
        <v>1997</v>
      </c>
      <c r="B12">
        <v>200</v>
      </c>
      <c r="C12">
        <v>250</v>
      </c>
      <c r="D12">
        <v>320</v>
      </c>
      <c r="E12">
        <f t="shared" si="0"/>
        <v>770</v>
      </c>
      <c r="F12" s="6">
        <f>tbl_xlookup[[#This Row],[TOTAL]]*(1+_xlfn.XLOOKUP(tbl_xlookup[[#This Row],[COUNTRY]],Variables!$G$3:$G$8,Variables!$H$3:$H$8,,0))</f>
        <v>836.99</v>
      </c>
    </row>
    <row r="13" spans="1:6" x14ac:dyDescent="0.25">
      <c r="A13" t="s">
        <v>1997</v>
      </c>
      <c r="B13">
        <v>210</v>
      </c>
      <c r="C13">
        <v>255</v>
      </c>
      <c r="D13">
        <v>322</v>
      </c>
      <c r="E13">
        <f t="shared" si="0"/>
        <v>787</v>
      </c>
      <c r="F13" s="6">
        <f>tbl_xlookup[[#This Row],[TOTAL]]*(1+_xlfn.XLOOKUP(tbl_xlookup[[#This Row],[COUNTRY]],Variables!$G$3:$G$8,Variables!$H$3:$H$8,,0))</f>
        <v>855.46899999999994</v>
      </c>
    </row>
    <row r="14" spans="1:6" x14ac:dyDescent="0.25">
      <c r="A14" t="s">
        <v>2001</v>
      </c>
      <c r="B14">
        <v>220</v>
      </c>
      <c r="C14">
        <v>260</v>
      </c>
      <c r="D14">
        <v>324</v>
      </c>
      <c r="E14">
        <f t="shared" si="0"/>
        <v>804</v>
      </c>
      <c r="F14" s="6">
        <f>tbl_xlookup[[#This Row],[TOTAL]]*(1+_xlfn.XLOOKUP(tbl_xlookup[[#This Row],[COUNTRY]],Variables!$G$3:$G$8,Variables!$H$3:$H$8,,0))</f>
        <v>876.36</v>
      </c>
    </row>
    <row r="15" spans="1:6" x14ac:dyDescent="0.25">
      <c r="A15" t="s">
        <v>2000</v>
      </c>
      <c r="B15">
        <v>230</v>
      </c>
      <c r="C15">
        <v>265</v>
      </c>
      <c r="D15">
        <v>326</v>
      </c>
      <c r="E15">
        <f t="shared" si="0"/>
        <v>821</v>
      </c>
      <c r="F15" s="6">
        <f>tbl_xlookup[[#This Row],[TOTAL]]*(1+_xlfn.XLOOKUP(tbl_xlookup[[#This Row],[COUNTRY]],Variables!$G$3:$G$8,Variables!$H$3:$H$8,,0))</f>
        <v>886.68000000000006</v>
      </c>
    </row>
    <row r="16" spans="1:6" x14ac:dyDescent="0.25">
      <c r="A16" t="s">
        <v>2001</v>
      </c>
      <c r="B16">
        <v>240</v>
      </c>
      <c r="C16">
        <v>270</v>
      </c>
      <c r="D16">
        <v>328</v>
      </c>
      <c r="E16">
        <f t="shared" si="0"/>
        <v>838</v>
      </c>
      <c r="F16" s="6">
        <f>tbl_xlookup[[#This Row],[TOTAL]]*(1+_xlfn.XLOOKUP(tbl_xlookup[[#This Row],[COUNTRY]],Variables!$G$3:$G$8,Variables!$H$3:$H$8,,0))</f>
        <v>913.42000000000007</v>
      </c>
    </row>
    <row r="17" spans="1:6" x14ac:dyDescent="0.25">
      <c r="A17" t="s">
        <v>1998</v>
      </c>
      <c r="B17">
        <v>150</v>
      </c>
      <c r="C17">
        <v>225</v>
      </c>
      <c r="D17">
        <v>310</v>
      </c>
      <c r="E17">
        <f t="shared" si="0"/>
        <v>685</v>
      </c>
      <c r="F17" s="6">
        <f>tbl_xlookup[[#This Row],[TOTAL]]*(1+_xlfn.XLOOKUP(tbl_xlookup[[#This Row],[COUNTRY]],Variables!$G$3:$G$8,Variables!$H$3:$H$8,,0))</f>
        <v>753.50000000000011</v>
      </c>
    </row>
    <row r="18" spans="1:6" x14ac:dyDescent="0.25">
      <c r="A18" t="s">
        <v>2002</v>
      </c>
      <c r="B18">
        <v>160</v>
      </c>
      <c r="C18">
        <v>230</v>
      </c>
      <c r="D18">
        <v>312</v>
      </c>
      <c r="E18">
        <f t="shared" si="0"/>
        <v>702</v>
      </c>
      <c r="F18" s="6">
        <f>tbl_xlookup[[#This Row],[TOTAL]]*(1+_xlfn.XLOOKUP(tbl_xlookup[[#This Row],[COUNTRY]],Variables!$G$3:$G$8,Variables!$H$3:$H$8,,0))</f>
        <v>770.79600000000005</v>
      </c>
    </row>
    <row r="19" spans="1:6" x14ac:dyDescent="0.25">
      <c r="A19" t="s">
        <v>1998</v>
      </c>
      <c r="B19">
        <v>170</v>
      </c>
      <c r="C19">
        <v>235</v>
      </c>
      <c r="D19">
        <v>314</v>
      </c>
      <c r="E19">
        <f t="shared" si="0"/>
        <v>719</v>
      </c>
      <c r="F19" s="6">
        <f>tbl_xlookup[[#This Row],[TOTAL]]*(1+_xlfn.XLOOKUP(tbl_xlookup[[#This Row],[COUNTRY]],Variables!$G$3:$G$8,Variables!$H$3:$H$8,,0))</f>
        <v>790.90000000000009</v>
      </c>
    </row>
    <row r="20" spans="1:6" x14ac:dyDescent="0.25">
      <c r="A20" t="s">
        <v>1998</v>
      </c>
      <c r="B20">
        <v>180</v>
      </c>
      <c r="C20">
        <v>240</v>
      </c>
      <c r="D20">
        <v>316</v>
      </c>
      <c r="E20">
        <f t="shared" si="0"/>
        <v>736</v>
      </c>
      <c r="F20" s="6">
        <f>tbl_xlookup[[#This Row],[TOTAL]]*(1+_xlfn.XLOOKUP(tbl_xlookup[[#This Row],[COUNTRY]],Variables!$G$3:$G$8,Variables!$H$3:$H$8,,0))</f>
        <v>809.6</v>
      </c>
    </row>
    <row r="21" spans="1:6" x14ac:dyDescent="0.25">
      <c r="A21" t="s">
        <v>1999</v>
      </c>
      <c r="B21">
        <v>190</v>
      </c>
      <c r="C21">
        <v>245</v>
      </c>
      <c r="D21">
        <v>318</v>
      </c>
      <c r="E21">
        <f t="shared" si="0"/>
        <v>753</v>
      </c>
      <c r="F21" s="6">
        <f>tbl_xlookup[[#This Row],[TOTAL]]*(1+_xlfn.XLOOKUP(tbl_xlookup[[#This Row],[COUNTRY]],Variables!$G$3:$G$8,Variables!$H$3:$H$8,,0))</f>
        <v>902.09399999999994</v>
      </c>
    </row>
    <row r="22" spans="1:6" x14ac:dyDescent="0.25">
      <c r="A22" t="s">
        <v>1999</v>
      </c>
      <c r="B22">
        <v>170</v>
      </c>
      <c r="C22">
        <v>235</v>
      </c>
      <c r="D22">
        <v>314</v>
      </c>
      <c r="E22">
        <f t="shared" si="0"/>
        <v>719</v>
      </c>
      <c r="F22" s="6">
        <f>tbl_xlookup[[#This Row],[TOTAL]]*(1+_xlfn.XLOOKUP(tbl_xlookup[[#This Row],[COUNTRY]],Variables!$G$3:$G$8,Variables!$H$3:$H$8,,0))</f>
        <v>861.36199999999997</v>
      </c>
    </row>
    <row r="23" spans="1:6" x14ac:dyDescent="0.25">
      <c r="A23" t="s">
        <v>1999</v>
      </c>
      <c r="B23">
        <v>180</v>
      </c>
      <c r="C23">
        <v>240</v>
      </c>
      <c r="D23">
        <v>316</v>
      </c>
      <c r="E23">
        <f t="shared" si="0"/>
        <v>736</v>
      </c>
      <c r="F23" s="6">
        <f>tbl_xlookup[[#This Row],[TOTAL]]*(1+_xlfn.XLOOKUP(tbl_xlookup[[#This Row],[COUNTRY]],Variables!$G$3:$G$8,Variables!$H$3:$H$8,,0))</f>
        <v>881.72799999999995</v>
      </c>
    </row>
    <row r="24" spans="1:6" x14ac:dyDescent="0.25">
      <c r="A24" t="s">
        <v>1999</v>
      </c>
      <c r="B24">
        <v>190</v>
      </c>
      <c r="C24">
        <v>245</v>
      </c>
      <c r="D24">
        <v>318</v>
      </c>
      <c r="E24">
        <f t="shared" si="0"/>
        <v>753</v>
      </c>
      <c r="F24" s="6">
        <f>tbl_xlookup[[#This Row],[TOTAL]]*(1+_xlfn.XLOOKUP(tbl_xlookup[[#This Row],[COUNTRY]],Variables!$G$3:$G$8,Variables!$H$3:$H$8,,0))</f>
        <v>902.09399999999994</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14BE43E94E6D047B686AFB7CECCB3CD" ma:contentTypeVersion="3" ma:contentTypeDescription="Crée un document." ma:contentTypeScope="" ma:versionID="ee61e397712e1b6dc7739e32d7ccec9d">
  <xsd:schema xmlns:xsd="http://www.w3.org/2001/XMLSchema" xmlns:xs="http://www.w3.org/2001/XMLSchema" xmlns:p="http://schemas.microsoft.com/office/2006/metadata/properties" xmlns:ns2="037ed5ce-9e80-41f7-81a5-4f297c26d5d9" targetNamespace="http://schemas.microsoft.com/office/2006/metadata/properties" ma:root="true" ma:fieldsID="98486b18ee558285ff8da1122274ee2d" ns2:_="">
    <xsd:import namespace="037ed5ce-9e80-41f7-81a5-4f297c26d5d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7ed5ce-9e80-41f7-81a5-4f297c26d5d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4FE42BE-6B0A-4BB2-95E6-D50A2C8E3D4A}">
  <ds:schemaRefs>
    <ds:schemaRef ds:uri="037ed5ce-9e80-41f7-81a5-4f297c26d5d9"/>
    <ds:schemaRef ds:uri="http://www.w3.org/XML/1998/namespace"/>
    <ds:schemaRef ds:uri="http://schemas.microsoft.com/office/2006/documentManagement/types"/>
    <ds:schemaRef ds:uri="http://purl.org/dc/terms/"/>
    <ds:schemaRef ds:uri="http://purl.org/dc/dcmitype/"/>
    <ds:schemaRef ds:uri="http://schemas.microsoft.com/office/infopath/2007/PartnerControls"/>
    <ds:schemaRef ds:uri="http://schemas.openxmlformats.org/package/2006/metadata/core-properties"/>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C665D513-2EC9-4174-9625-F5ABCCC55C41}">
  <ds:schemaRefs>
    <ds:schemaRef ds:uri="http://schemas.microsoft.com/sharepoint/v3/contenttype/forms"/>
  </ds:schemaRefs>
</ds:datastoreItem>
</file>

<file path=customXml/itemProps3.xml><?xml version="1.0" encoding="utf-8"?>
<ds:datastoreItem xmlns:ds="http://schemas.openxmlformats.org/officeDocument/2006/customXml" ds:itemID="{E2B010F6-A7A2-496F-8BD3-14996221F4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7ed5ce-9e80-41f7-81a5-4f297c26d5d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15</vt:i4>
      </vt:variant>
      <vt:variant>
        <vt:lpstr>Plages nommées</vt:lpstr>
      </vt:variant>
      <vt:variant>
        <vt:i4>10</vt:i4>
      </vt:variant>
    </vt:vector>
  </HeadingPairs>
  <TitlesOfParts>
    <vt:vector size="25" baseType="lpstr">
      <vt:lpstr>1. Lignes-cols</vt:lpstr>
      <vt:lpstr>2. Cellules</vt:lpstr>
      <vt:lpstr>3. Mise en forme</vt:lpstr>
      <vt:lpstr>4. Sélection de cellules</vt:lpstr>
      <vt:lpstr>5. Insertion auto</vt:lpstr>
      <vt:lpstr>6. Formule-intro</vt:lpstr>
      <vt:lpstr>I1. Réf rel. et abs.</vt:lpstr>
      <vt:lpstr>7. Noms définis</vt:lpstr>
      <vt:lpstr>8. Feuilles</vt:lpstr>
      <vt:lpstr>9. TRI</vt:lpstr>
      <vt:lpstr>10. FILTRE</vt:lpstr>
      <vt:lpstr>11. RECHERCHE</vt:lpstr>
      <vt:lpstr>12. TABLEAU + GRAPHE</vt:lpstr>
      <vt:lpstr>Variables</vt:lpstr>
      <vt:lpstr>TBL+XLOOKUP</vt:lpstr>
      <vt:lpstr>CH</vt:lpstr>
      <vt:lpstr>D</vt:lpstr>
      <vt:lpstr>FR</vt:lpstr>
      <vt:lpstr>GB</vt:lpstr>
      <vt:lpstr>IT</vt:lpstr>
      <vt:lpstr>liste_cantons</vt:lpstr>
      <vt:lpstr>tax10pc</vt:lpstr>
      <vt:lpstr>tax12pc</vt:lpstr>
      <vt:lpstr>TVACH</vt:lpstr>
      <vt:lpstr>US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Ludovic Moreau, manager</dc:creator>
  <cp:keywords/>
  <dc:description/>
  <cp:lastModifiedBy>Ludovic Moreau, manager</cp:lastModifiedBy>
  <cp:revision/>
  <dcterms:created xsi:type="dcterms:W3CDTF">2023-11-16T07:59:57Z</dcterms:created>
  <dcterms:modified xsi:type="dcterms:W3CDTF">2026-03-31T06:05:32Z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0x010100114BE43E94E6D047B686AFB7CECCB3CD</vt:lpwstr>
  </property>
  <property fmtid="{D5CDD505-2E9C-101B-9397-08002B2CF9AE}" pid="3" name="Order">
    <vt:r8>71600</vt:r8>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y fmtid="{D5CDD505-2E9C-101B-9397-08002B2CF9AE}" pid="8" name="SharedWithUsers">
    <vt:lpwstr/>
  </property>
  <property fmtid="{D5CDD505-2E9C-101B-9397-08002B2CF9AE}" pid="9" name="ModuleName">
    <vt:lpwstr>;#Refresh Base;#</vt:lpwstr>
  </property>
</Properties>
</file>