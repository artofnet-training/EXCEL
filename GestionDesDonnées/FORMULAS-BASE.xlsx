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FORMULAS BASE/"/>
    </mc:Choice>
  </mc:AlternateContent>
  <xr:revisionPtr revIDLastSave="715" documentId="8_{A8FC9998-5EE7-4487-B797-693B527E2517}" xr6:coauthVersionLast="47" xr6:coauthVersionMax="47" xr10:uidLastSave="{952A600A-D091-4994-A7C0-7C3BCD59CC57}"/>
  <bookViews>
    <workbookView xWindow="-120" yWindow="-120" windowWidth="29040" windowHeight="15720" firstSheet="2" activeTab="6" xr2:uid="{F0739C74-E7DD-41DF-AAE8-96AD61AB70E3}"/>
  </bookViews>
  <sheets>
    <sheet name="TRADFUNCTIONS" sheetId="3" state="hidden" r:id="rId1"/>
    <sheet name="TRAD" sheetId="1" state="hidden" r:id="rId2"/>
    <sheet name="BASES" sheetId="2" r:id="rId3"/>
    <sheet name="REFERENCES" sheetId="5" r:id="rId4"/>
    <sheet name="LOGIQUE" sheetId="4" r:id="rId5"/>
    <sheet name="Fct utiles" sheetId="6" r:id="rId6"/>
    <sheet name="EXERCICE" sheetId="8" r:id="rId7"/>
  </sheets>
  <externalReferences>
    <externalReference r:id="rId8"/>
  </externalReferences>
  <definedNames>
    <definedName name="_xlpm.currTbl" hidden="1">#NAME?</definedName>
    <definedName name="_xlpm.rng" hidden="1">#NAME?</definedName>
    <definedName name="_xlpm.start" hidden="1">#NAME?</definedName>
    <definedName name="_xlpm.values" hidden="1">#NAME?</definedName>
    <definedName name="Createlink">_xlfn.LAMBDA(_xlpm.sheet,_xlpm.label, HYPERLINK("#'" &amp; _xlpm.sheet &amp; "'!A1", _xlpm.label))</definedName>
    <definedName name="eng_flag">TRAD!$C$3=1</definedName>
    <definedName name="FiscalQLookupTable" comment="Approximate Match Lookup Table to convert month number to fiscal quarter number where July 1 is first month in fiscal quarter.">{1,3;4,4;7,1;10,2}</definedName>
    <definedName name="FiscalQuarter" comment="This function allows you to enter a serial number date and the function will deliver a fiscal quarter based on July 1 as first day in Fiscal Year.">_xlfn.LAMBDA(_xlpm.Date,"Q" &amp; LOOKUP(MONTH(_xlpm.Date), {1,3;4,4;7,1;10,2}))</definedName>
    <definedName name="lst_moiscourt">TRAD!$E$8:$E$19</definedName>
    <definedName name="lst_moislong">TRAD!$F$8:$F$19</definedName>
    <definedName name="lst_monthlong">TRAD!$H$8:$H$19</definedName>
    <definedName name="lst_monthShort">TRAD!$G$8:$G$19</definedName>
    <definedName name="RemoveChar" comment="This function uses recursion to remove the specified digits from a text string.">_xlfn.LAMBDA(_xlpm.Text,_xlpm.CharToRemove, IF(_xlpm.CharToRemove="", TRIM(_xlpm.Text), RemoveChar(SUBSTITUTE(_xlpm.Text,LEFT(_xlpm.CharToRemove),""), RIGHT(_xlpm.CharToRemove,LEN(_xlpm.CharToRemove)-1))))</definedName>
    <definedName name="RemoveCharR" comment="Remove specified characters listed in a single cell using REDUCE.">_xlfn.LAMBDA(_xlpm.Text,_xlpm.CharToRemove, TRIM(_xlfn.REDUCE(_xlpm.Text, MID(_xlpm.CharToRemove,_xlfn.SEQUENCE(LEN(_xlpm.CharToRemove)),1), _xlfn.LAMBDA(_xlpm.i,_xlpm.a,SUBSTITUTE(_xlpm.i,_xlpm.a,"")))))</definedName>
    <definedName name="RemoveNumbersFromText" comment="This function will remove the digits 0,1,2,3,4,5,6,7,8,9 from a test string.">_xlfn.LAMBDA(_xlpm.text,TRIM(_xlfn.REDUCE(_xlpm.text, _xlfn.SEQUENCE(10, , 0), _xlfn.LAMBDA(_xlpm.i,_xlpm.a, SUBSTITUTE(_xlpm.i, _xlpm.a, "")))))</definedName>
    <definedName name="ShowFormulas">_xlfn.LAMBDA(_xlpm.reference,IFERROR(_xlfn.TOCOL(ADDRESS(ROW(_xlpm.reference), COLUMN(_xlpm.reference), 4) &amp; ": " &amp; _xlfn.FORMULATEXT(_xlpm.reference), 2), ""))</definedName>
    <definedName name="SpaceBeforeCaps" comment="This function will insert spaces before capital letters.">_xlfn.LAMBDA(_xlpm.Text, TRIM(_xlfn.REDUCE( _xlpm.Text, CHAR(_xlfn.SEQUENCE(26, , 65)), _xlfn.LAMBDA(_xlpm.i,_xlpm.a, SUBSTITUTE(_xlpm.i, _xlpm.a, " "&amp;_xlpm.a)))))</definedName>
    <definedName name="sq">[1]TRAD!$C$4=1</definedName>
    <definedName name="statusList">IF(eng_flag,TRAD!$I$24:$I$30,TRAD!$J$24:$J$30)</definedName>
    <definedName name="TranslateDescFromDictionnary">_xlfn.LAMBDA(_xlpm.index,IF(eng_flag,_xlfn.XLOOKUP(_xlpm.index,TRADFUNCTIONS!$A:$A,TRADFUNCTIONS!$D:$D),_xlfn.XLOOKUP(_xlpm.index,TRADFUNCTIONS!$A:$A,TRADFUNCTIONS!$E:$E)))</definedName>
    <definedName name="Translatefct">_xlfn.LAMBDA(_xlpm.fct_index,_xlpm.Desc_flag,VLOOKUP(_xlpm.fct_index,[1]!tbl_tradfunctions[#Data],3-sq+_xlpm.Desc_flag*2))</definedName>
    <definedName name="TranslateNameFromDictionnary">_xlfn.LAMBDA(_xlpm.index,IF(eng_flag,_xlfn.XLOOKUP(_xlpm.index,TRADFUNCTIONS!$A:$A,TRADFUNCTIONS!$B:$B),_xlfn.XLOOKUP(_xlpm.index,TRADFUNCTIONS!$A:$A,TRADFUNCTIONS!$C:$C)))</definedName>
    <definedName name="TranslateTxt">_xlfn.LAMBDA(_xlpm.index,_xlfn.XLOOKUP(_xlpm.index,tbl_txt[ID],IF(eng_flag,tbl_txt[txt_ENG],tbl_txt[txt_FR])))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6" i="8" l="1"/>
  <c r="BO7" i="8"/>
  <c r="BO8" i="8"/>
  <c r="BO9" i="8"/>
  <c r="BO5" i="8"/>
  <c r="BH6" i="8" a="1"/>
  <c r="BH6" i="8" s="1"/>
  <c r="BK6" i="8"/>
  <c r="BM6" i="8" s="1"/>
  <c r="BL6" i="8"/>
  <c r="BN6" i="8"/>
  <c r="BH7" i="8" a="1"/>
  <c r="BH7" i="8" s="1"/>
  <c r="BK7" i="8"/>
  <c r="BL7" i="8"/>
  <c r="BM7" i="8"/>
  <c r="BN7" i="8"/>
  <c r="BH8" i="8" a="1"/>
  <c r="BH8" i="8" s="1"/>
  <c r="BK8" i="8"/>
  <c r="BL8" i="8"/>
  <c r="BM8" i="8"/>
  <c r="BN8" i="8"/>
  <c r="BH9" i="8" a="1"/>
  <c r="BH9" i="8" s="1"/>
  <c r="BK9" i="8"/>
  <c r="BM9" i="8" s="1"/>
  <c r="BL9" i="8"/>
  <c r="BN9" i="8"/>
  <c r="BN5" i="8"/>
  <c r="BM5" i="8"/>
  <c r="BG11" i="8"/>
  <c r="BL5" i="8"/>
  <c r="BK5" i="8"/>
  <c r="BH5" i="8" a="1"/>
  <c r="BH5" i="8" s="1"/>
  <c r="AZ6" i="8"/>
  <c r="BA6" i="8" s="1"/>
  <c r="BB6" i="8"/>
  <c r="BC6" i="8"/>
  <c r="BD6" i="8"/>
  <c r="BE6" i="8"/>
  <c r="BG6" i="8" s="1"/>
  <c r="BF6" i="8"/>
  <c r="AZ7" i="8"/>
  <c r="BA7" i="8" s="1"/>
  <c r="BB7" i="8"/>
  <c r="BC7" i="8"/>
  <c r="BD7" i="8"/>
  <c r="BE7" i="8"/>
  <c r="BF7" i="8" s="1"/>
  <c r="AZ8" i="8"/>
  <c r="BA8" i="8"/>
  <c r="BB8" i="8"/>
  <c r="BC8" i="8"/>
  <c r="BD8" i="8"/>
  <c r="BE8" i="8"/>
  <c r="AZ9" i="8"/>
  <c r="BA9" i="8"/>
  <c r="BB9" i="8"/>
  <c r="BC9" i="8"/>
  <c r="BD9" i="8"/>
  <c r="BE9" i="8"/>
  <c r="BF9" i="8" s="1"/>
  <c r="BG5" i="8"/>
  <c r="BF5" i="8"/>
  <c r="BE5" i="8"/>
  <c r="BD5" i="8"/>
  <c r="BC5" i="8"/>
  <c r="BB5" i="8"/>
  <c r="BA5" i="8"/>
  <c r="AZ5" i="8"/>
  <c r="C26" i="2" a="1"/>
  <c r="C26" i="2" s="1"/>
  <c r="D23" i="2" a="1"/>
  <c r="D23" i="2" s="1"/>
  <c r="D21" i="2" a="1"/>
  <c r="D21" i="2" s="1"/>
  <c r="D16" i="6" a="1"/>
  <c r="D16" i="6" s="1"/>
  <c r="C16" i="6" a="1"/>
  <c r="C16" i="6" s="1"/>
  <c r="M29" i="2"/>
  <c r="N25" i="2"/>
  <c r="N23" i="2"/>
  <c r="N21" i="2"/>
  <c r="G25" i="6"/>
  <c r="G26" i="6"/>
  <c r="G27" i="6"/>
  <c r="G24" i="6"/>
  <c r="B25" i="6"/>
  <c r="C25" i="6"/>
  <c r="D25" i="6"/>
  <c r="B26" i="6"/>
  <c r="C26" i="6"/>
  <c r="D26" i="6"/>
  <c r="B27" i="6"/>
  <c r="C27" i="6"/>
  <c r="D27" i="6"/>
  <c r="D24" i="6"/>
  <c r="C24" i="6"/>
  <c r="B24" i="6"/>
  <c r="H16" i="6" a="1"/>
  <c r="H16" i="6" s="1"/>
  <c r="G16" i="6" a="1"/>
  <c r="G16" i="6" s="1"/>
  <c r="F16" i="6" a="1"/>
  <c r="F16" i="6" s="1"/>
  <c r="E16" i="6" a="1"/>
  <c r="E16" i="6" s="1"/>
  <c r="A11" i="6"/>
  <c r="E11" i="6" s="1"/>
  <c r="C6" i="6"/>
  <c r="A6" i="6"/>
  <c r="C5" i="6" a="1"/>
  <c r="C5" i="6" s="1"/>
  <c r="G28" i="6"/>
  <c r="C28" i="6"/>
  <c r="D28" i="6"/>
  <c r="B28" i="6"/>
  <c r="H21" i="6"/>
  <c r="F21" i="6"/>
  <c r="D15" i="6"/>
  <c r="E15" i="6"/>
  <c r="G15" i="6"/>
  <c r="C15" i="6"/>
  <c r="C27" i="2"/>
  <c r="C25" i="2"/>
  <c r="C23" i="2"/>
  <c r="C21" i="2"/>
  <c r="G12" i="6"/>
  <c r="C7" i="6"/>
  <c r="A7" i="6"/>
  <c r="E12" i="6"/>
  <c r="C12" i="6"/>
  <c r="A12" i="6"/>
  <c r="BF8" i="8" l="1"/>
  <c r="BG8" i="8" s="1"/>
  <c r="BG7" i="8"/>
  <c r="BG9" i="8"/>
  <c r="M27" i="2"/>
  <c r="G11" i="6"/>
  <c r="C11" i="6"/>
  <c r="F22" i="5" l="1"/>
  <c r="F23" i="5"/>
  <c r="F24" i="5"/>
  <c r="F21" i="5"/>
  <c r="G22" i="5"/>
  <c r="G24" i="5"/>
  <c r="G23" i="5"/>
  <c r="G21" i="5"/>
  <c r="C22" i="5" l="1"/>
  <c r="C23" i="5"/>
  <c r="C24" i="5"/>
  <c r="C21" i="5"/>
  <c r="C16" i="5"/>
  <c r="C17" i="5"/>
  <c r="C18" i="5"/>
  <c r="C15" i="5"/>
  <c r="C8" i="5"/>
  <c r="C9" i="5"/>
  <c r="C10" i="5"/>
  <c r="C11" i="5"/>
  <c r="C12" i="5"/>
  <c r="C7" i="5"/>
  <c r="H30" i="5"/>
  <c r="I30" i="5"/>
  <c r="G30" i="5"/>
  <c r="F5" i="4"/>
  <c r="E5" i="4"/>
  <c r="D5" i="4"/>
  <c r="B3" i="4" a="1"/>
  <c r="B3" i="4" s="1"/>
  <c r="C3" i="1"/>
  <c r="L10" i="2"/>
  <c r="J16" i="2" s="1"/>
  <c r="L3" i="2"/>
  <c r="P19" i="2"/>
  <c r="K3" i="2"/>
  <c r="J3" i="2"/>
  <c r="J13" i="2"/>
  <c r="D9" i="5"/>
  <c r="D10" i="5"/>
  <c r="D18" i="5"/>
  <c r="D22" i="5"/>
  <c r="C5" i="2"/>
  <c r="C13" i="2"/>
  <c r="D7" i="5"/>
  <c r="C7" i="2"/>
  <c r="F4" i="4"/>
  <c r="D15" i="5"/>
  <c r="D12" i="5"/>
  <c r="D21" i="5"/>
  <c r="C4" i="2"/>
  <c r="C16" i="2"/>
  <c r="D4" i="4"/>
  <c r="D8" i="5"/>
  <c r="C19" i="2"/>
  <c r="C3" i="2"/>
  <c r="D11" i="5"/>
  <c r="D16" i="5"/>
  <c r="C10" i="2"/>
  <c r="E4" i="4"/>
  <c r="D24" i="5"/>
  <c r="D23" i="5"/>
  <c r="D17" i="5"/>
  <c r="E4" i="5" l="1" a="1"/>
  <c r="E4" i="5" s="1"/>
  <c r="I24" i="4" a="1"/>
  <c r="I24" i="4" s="1"/>
  <c r="F22" i="4" a="1"/>
  <c r="F22" i="4" s="1"/>
  <c r="I22" i="4" a="1"/>
  <c r="I22" i="4" s="1"/>
  <c r="I23" i="4" a="1"/>
  <c r="I23" i="4" s="1"/>
  <c r="H21" i="4" a="1"/>
  <c r="H21" i="4" s="1"/>
  <c r="D53" i="5" a="1"/>
  <c r="D53" i="5" s="1"/>
  <c r="D56" i="5" a="1"/>
  <c r="D56" i="5" s="1"/>
  <c r="D50" i="5" a="1"/>
  <c r="D50" i="5" s="1"/>
  <c r="B30" i="5" a="1"/>
  <c r="B30" i="5" s="1"/>
  <c r="D47" i="5" a="1"/>
  <c r="D47" i="5" s="1"/>
  <c r="F21" i="4" a="1"/>
  <c r="F21" i="4" s="1"/>
  <c r="H22" i="4" a="1"/>
  <c r="H22" i="4" s="1"/>
  <c r="E22" i="4" a="1"/>
  <c r="E22" i="4" s="1"/>
  <c r="D22" i="4" a="1"/>
  <c r="D22" i="4" s="1"/>
  <c r="C22" i="4" a="1"/>
  <c r="C22" i="4" s="1"/>
  <c r="B22" i="4" a="1"/>
  <c r="B22" i="4" s="1"/>
  <c r="P11" i="4" a="1"/>
  <c r="P11" i="4" s="1"/>
  <c r="E3" i="5" a="1"/>
  <c r="E3" i="5" s="1"/>
  <c r="C30" i="5" a="1"/>
  <c r="C30" i="5" s="1"/>
  <c r="F30" i="5" a="1"/>
  <c r="F30" i="5" s="1"/>
  <c r="P10" i="4" a="1"/>
  <c r="P10" i="4" s="1"/>
  <c r="N11" i="4" a="1"/>
  <c r="N11" i="4" s="1"/>
  <c r="I19" i="4" a="1"/>
  <c r="I19" i="4" s="1"/>
  <c r="N10" i="4" a="1"/>
  <c r="N10" i="4" s="1"/>
  <c r="L11" i="4" a="1"/>
  <c r="L11" i="4" s="1"/>
  <c r="L10" i="4" a="1"/>
  <c r="L10" i="4" s="1"/>
  <c r="D30" i="5" a="1"/>
  <c r="D30" i="5" s="1"/>
  <c r="D19" i="5" a="1"/>
  <c r="D19" i="5" s="1"/>
  <c r="D13" i="5" a="1"/>
  <c r="D13" i="5" s="1"/>
  <c r="D25" i="5" a="1"/>
  <c r="D25" i="5" s="1"/>
  <c r="E2" i="5" a="1"/>
  <c r="E2" i="5" s="1"/>
  <c r="D19" i="2" a="1"/>
  <c r="D19" i="2" s="1"/>
  <c r="C1" i="4" a="1"/>
  <c r="C1" i="4" s="1"/>
  <c r="G11" i="4" a="1"/>
  <c r="G11" i="4" s="1"/>
  <c r="D3" i="2" a="1"/>
  <c r="D3" i="2" s="1"/>
  <c r="D4" i="2" a="1"/>
  <c r="D4" i="2" s="1"/>
  <c r="C30" i="2" a="1"/>
  <c r="C30" i="2" s="1"/>
  <c r="H1" i="4" a="1"/>
  <c r="H1" i="4" s="1"/>
  <c r="H11" i="4" a="1"/>
  <c r="H11" i="4" s="1"/>
  <c r="D7" i="2" a="1"/>
  <c r="D7" i="2" s="1"/>
  <c r="I11" i="4" a="1"/>
  <c r="I11" i="4" s="1"/>
  <c r="J11" i="4" a="1"/>
  <c r="J11" i="4" s="1"/>
  <c r="C1" i="5" a="1"/>
  <c r="C1" i="5" s="1"/>
  <c r="J1" i="2" a="1"/>
  <c r="J1" i="2" s="1"/>
  <c r="J7" i="2" s="1"/>
  <c r="C37" i="2" a="1"/>
  <c r="C37" i="2" s="1"/>
  <c r="C4" i="5" a="1"/>
  <c r="C4" i="5" s="1"/>
  <c r="D10" i="2" a="1"/>
  <c r="D10" i="2" s="1"/>
  <c r="C43" i="2" a="1"/>
  <c r="C43" i="2" s="1"/>
  <c r="B5" i="5" a="1"/>
  <c r="B5" i="5" s="1"/>
  <c r="C38" i="2" a="1"/>
  <c r="C38" i="2" s="1"/>
  <c r="B11" i="4" a="1"/>
  <c r="B11" i="4" s="1"/>
  <c r="C2" i="5" a="1"/>
  <c r="C2" i="5" s="1"/>
  <c r="C44" i="2" a="1"/>
  <c r="C44" i="2" s="1"/>
  <c r="C11" i="4" a="1"/>
  <c r="C11" i="4" s="1"/>
  <c r="C3" i="5" a="1"/>
  <c r="C3" i="5" s="1"/>
  <c r="D13" i="2" a="1"/>
  <c r="D13" i="2" s="1"/>
  <c r="C57" i="2" a="1"/>
  <c r="C57" i="2" s="1"/>
  <c r="D11" i="4" a="1"/>
  <c r="D11" i="4" s="1"/>
  <c r="H28" i="5" a="1"/>
  <c r="H28" i="5" s="1"/>
  <c r="C58" i="2" a="1"/>
  <c r="C58" i="2" s="1"/>
  <c r="E11" i="4" a="1"/>
  <c r="E11" i="4" s="1"/>
  <c r="D16" i="2" a="1"/>
  <c r="D16" i="2" s="1"/>
  <c r="C1" i="2" a="1"/>
  <c r="C1" i="2" s="1"/>
  <c r="D5" i="2" a="1"/>
  <c r="D5" i="2" s="1"/>
  <c r="C59" i="2" a="1"/>
  <c r="C59" i="2" s="1"/>
  <c r="F11" i="4" a="1"/>
  <c r="F11" i="4" s="1"/>
  <c r="B6" i="4" a="1"/>
  <c r="B6" i="4" s="1"/>
  <c r="F7" i="4" l="1"/>
  <c r="E7" i="4"/>
  <c r="D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<sst xmlns="http://schemas.openxmlformats.org/spreadsheetml/2006/main" count="693" uniqueCount="645">
  <si>
    <t>sumproduct</t>
  </si>
  <si>
    <t>The first condition has to be converted from boolean to number thus the *1</t>
  </si>
  <si>
    <t>ENGLISH</t>
  </si>
  <si>
    <r>
      <t>La condition doit être convertie de booléen en nombre d'o</t>
    </r>
    <r>
      <rPr>
        <sz val="11"/>
        <color theme="1"/>
        <rFont val="Aptos Narrow"/>
        <family val="2"/>
      </rPr>
      <t>ù</t>
    </r>
    <r>
      <rPr>
        <sz val="11"/>
        <color theme="1"/>
        <rFont val="Calibri"/>
        <family val="2"/>
        <scheme val="minor"/>
      </rPr>
      <t xml:space="preserve"> le *1</t>
    </r>
  </si>
  <si>
    <t>lst_moiscourt</t>
  </si>
  <si>
    <t>lst_moislong</t>
  </si>
  <si>
    <t>lst_monthShort</t>
  </si>
  <si>
    <t>lst_monthlong</t>
  </si>
  <si>
    <t>janv</t>
  </si>
  <si>
    <t>janvier</t>
  </si>
  <si>
    <t>jan</t>
  </si>
  <si>
    <t>january</t>
  </si>
  <si>
    <t>févr</t>
  </si>
  <si>
    <t>février</t>
  </si>
  <si>
    <t>feb</t>
  </si>
  <si>
    <t>february</t>
  </si>
  <si>
    <t>mars</t>
  </si>
  <si>
    <t>mar</t>
  </si>
  <si>
    <t>march</t>
  </si>
  <si>
    <t>avr</t>
  </si>
  <si>
    <t>avril</t>
  </si>
  <si>
    <t>apr</t>
  </si>
  <si>
    <t>april</t>
  </si>
  <si>
    <t>mai</t>
  </si>
  <si>
    <t>may</t>
  </si>
  <si>
    <t>juin</t>
  </si>
  <si>
    <t>jun</t>
  </si>
  <si>
    <t>june</t>
  </si>
  <si>
    <t>juil</t>
  </si>
  <si>
    <t>juillet</t>
  </si>
  <si>
    <t>jul</t>
  </si>
  <si>
    <t>july</t>
  </si>
  <si>
    <t>SUMPRODUCT</t>
  </si>
  <si>
    <t>août</t>
  </si>
  <si>
    <t>aug</t>
  </si>
  <si>
    <t>august</t>
  </si>
  <si>
    <t>sept</t>
  </si>
  <si>
    <t>septembre</t>
  </si>
  <si>
    <t>sep</t>
  </si>
  <si>
    <t>september</t>
  </si>
  <si>
    <t>oct</t>
  </si>
  <si>
    <t>octobre</t>
  </si>
  <si>
    <t>october</t>
  </si>
  <si>
    <t>FILTER</t>
  </si>
  <si>
    <t>FILTRE</t>
  </si>
  <si>
    <t>nov</t>
  </si>
  <si>
    <t>novembre</t>
  </si>
  <si>
    <t>november</t>
  </si>
  <si>
    <t>déc</t>
  </si>
  <si>
    <t>décembre</t>
  </si>
  <si>
    <t>dec</t>
  </si>
  <si>
    <t>december</t>
  </si>
  <si>
    <t>RECHERCHEV</t>
  </si>
  <si>
    <t>HLOOKUP</t>
  </si>
  <si>
    <t>RECHERCHEH</t>
  </si>
  <si>
    <t>XLOOKUP</t>
  </si>
  <si>
    <t>RECHERCHEX</t>
  </si>
  <si>
    <t>Status column</t>
  </si>
  <si>
    <t>Active</t>
  </si>
  <si>
    <t>Actif(ve)</t>
  </si>
  <si>
    <t>Maternity leave</t>
  </si>
  <si>
    <t>Congé maternité</t>
  </si>
  <si>
    <t>Pre-retirement</t>
  </si>
  <si>
    <t>Pré-retraite</t>
  </si>
  <si>
    <t>GROUPBY</t>
  </si>
  <si>
    <t>GROUPER.PAR</t>
  </si>
  <si>
    <t>Training</t>
  </si>
  <si>
    <t>Stagiaire</t>
  </si>
  <si>
    <t>PIVOTBY</t>
  </si>
  <si>
    <t>Sick Leave</t>
  </si>
  <si>
    <t>Congé maladie</t>
  </si>
  <si>
    <t>LET</t>
  </si>
  <si>
    <t>Retired</t>
  </si>
  <si>
    <t>Retraité</t>
  </si>
  <si>
    <t>LAMBDA</t>
  </si>
  <si>
    <t>Inactive</t>
  </si>
  <si>
    <t>Inactif(ve)</t>
  </si>
  <si>
    <t>ID</t>
  </si>
  <si>
    <t>VAT</t>
  </si>
  <si>
    <t>TVA</t>
  </si>
  <si>
    <t>XMATCH</t>
  </si>
  <si>
    <t>EQUIVX</t>
  </si>
  <si>
    <t>OFFSET</t>
  </si>
  <si>
    <t>DECALER</t>
  </si>
  <si>
    <t>Returns an array of values that meet specified conditions.</t>
  </si>
  <si>
    <t>Renvoie un tableau de valeurs répondant à des critères spécifiés.</t>
  </si>
  <si>
    <t>SORT</t>
  </si>
  <si>
    <t>TRIER</t>
  </si>
  <si>
    <t>Sorts the contents of an array or range.</t>
  </si>
  <si>
    <t>Trie le contenu d'un tableau ou d'une plage de cellules.</t>
  </si>
  <si>
    <t>SORTBY</t>
  </si>
  <si>
    <t>TRIERPAR</t>
  </si>
  <si>
    <t>Sorts an array based on the values in a corresponding array.</t>
  </si>
  <si>
    <t>Trie un tableau en fonction des valeurs d'un tableau correspondant.</t>
  </si>
  <si>
    <t>UNIQUE</t>
  </si>
  <si>
    <t>Returns unique values from a range or array.</t>
  </si>
  <si>
    <t>Renvoie des valeurs uniques à partir d'une plage ou d'un tableau.</t>
  </si>
  <si>
    <t>SEQUENCE</t>
  </si>
  <si>
    <t>Generates a sequence of numbers in an array.</t>
  </si>
  <si>
    <t>Génère une séquence de nombres sous forme de tableau.</t>
  </si>
  <si>
    <t>RANDARRAY</t>
  </si>
  <si>
    <t>TABLEAU.ALEA</t>
  </si>
  <si>
    <t>Returns an array of random numbers.</t>
  </si>
  <si>
    <t>Renvoie un tableau de nombres aléatoires.</t>
  </si>
  <si>
    <t>TEXTJOIN</t>
  </si>
  <si>
    <t>JOINDRE.TEXTE</t>
  </si>
  <si>
    <t>Combines text strings using a delimiter (earlier available in Excel 2016).</t>
  </si>
  <si>
    <t>Combine des chaînes de texte en utilisant un délimiteur (disponible depuis Excel 2016).</t>
  </si>
  <si>
    <t>ARRAYTOTEXT</t>
  </si>
  <si>
    <t>TABLEAU.EN.TEXTE</t>
  </si>
  <si>
    <t>Converts an array to a text string (two formats available).</t>
  </si>
  <si>
    <t>Convertit un tableau en une chaîne de texte (deux formats possibles).</t>
  </si>
  <si>
    <t>EXPAND</t>
  </si>
  <si>
    <t>ETENDRE</t>
  </si>
  <si>
    <t>Expands an array to a specified size by adding blank cells or values.</t>
  </si>
  <si>
    <t>Étend un tableau à une taille spécifiée en ajoutant des cellules vides ou des valeurs.</t>
  </si>
  <si>
    <t>TOCOL</t>
  </si>
  <si>
    <t>DANSCOLONNE</t>
  </si>
  <si>
    <t>Transforms a range or array into a single column.</t>
  </si>
  <si>
    <t>Transforme une plage ou un tableau en une seule colonne.</t>
  </si>
  <si>
    <t>TOROW</t>
  </si>
  <si>
    <t>DANSLIGNE</t>
  </si>
  <si>
    <t>Transforms a range or array into a single row.</t>
  </si>
  <si>
    <t>Transforme une plage ou un tableau en une seule ligne.</t>
  </si>
  <si>
    <t>WRAPCOLS</t>
  </si>
  <si>
    <t>ORGA.COLS</t>
  </si>
  <si>
    <t>Arranges values from a single column into multiple columns.</t>
  </si>
  <si>
    <t>Réorganise des valeurs d'une colonne unique en plusieurs colonnes.</t>
  </si>
  <si>
    <t>WRAPROWS</t>
  </si>
  <si>
    <t>ORGA.LIGNES</t>
  </si>
  <si>
    <t>Arranges values from a single row into multiple rows.</t>
  </si>
  <si>
    <t>Réorganise des valeurs d'une ligne unique en plusieurs lignes.</t>
  </si>
  <si>
    <t>CHOOSECOLS</t>
  </si>
  <si>
    <t>CHOISIRCOLS</t>
  </si>
  <si>
    <t>Selects specific columns from an array.</t>
  </si>
  <si>
    <t>Sélectionne des colonnes spécifiques à partir d'un tableau.</t>
  </si>
  <si>
    <t>CHOOSEROWS</t>
  </si>
  <si>
    <t>CHOISIRLIGNES</t>
  </si>
  <si>
    <t>Selects specific rows from an array.</t>
  </si>
  <si>
    <t>Sélectionne des lignes spécifiques à partir d'un tableau.</t>
  </si>
  <si>
    <t>VSTACK</t>
  </si>
  <si>
    <t>ASSEMB.V</t>
  </si>
  <si>
    <t>Vertically stacks arrays or ranges.</t>
  </si>
  <si>
    <t>Empile verticalement des tableaux ou des plages.</t>
  </si>
  <si>
    <t>HSTACK</t>
  </si>
  <si>
    <t>ASSEMB.H</t>
  </si>
  <si>
    <t>Horizontally stacks arrays or ranges.</t>
  </si>
  <si>
    <t>Empile horizontalement des tableaux ou des plages.</t>
  </si>
  <si>
    <t>Finds the relative position of a value in an array (replacement for MATCH).</t>
  </si>
  <si>
    <t>Renvoie la position relative d'une valeur dans un tableau (remplace EQUIV).</t>
  </si>
  <si>
    <t>Assigns names to calculation results to reuse them within a formula.</t>
  </si>
  <si>
    <t>Assigne des noms à des résultats de calcul pour les réutiliser dans une formule.</t>
  </si>
  <si>
    <t>Allows users to define custom, reusable functions.</t>
  </si>
  <si>
    <t>Permet de définir des fonctions personnalisées réutilisables.</t>
  </si>
  <si>
    <t>BYROW</t>
  </si>
  <si>
    <t>Applies a LAMBDA function to each row in an array.</t>
  </si>
  <si>
    <t>Applique une fonction LAMBDA à chaque ligne d'un tableau.</t>
  </si>
  <si>
    <t>BYCOL</t>
  </si>
  <si>
    <t>Applies a LAMBDA function to each column in an array.</t>
  </si>
  <si>
    <t>Applique une fonction LAMBDA à chaque colonne d'un tableau.</t>
  </si>
  <si>
    <t>MAKEARRAY</t>
  </si>
  <si>
    <t>CREERTABLEAU</t>
  </si>
  <si>
    <t>Creates an array based on a LAMBDA function.</t>
  </si>
  <si>
    <t>Crée un tableau en fonction d'une fonction LAMBDA.</t>
  </si>
  <si>
    <t>MAP</t>
  </si>
  <si>
    <t>CARTOGRAPHIE</t>
  </si>
  <si>
    <t>Applies a LAMBDA function to arrays, element by element.</t>
  </si>
  <si>
    <t>Applique une fonction LAMBDA élément par élément sur des tableaux.</t>
  </si>
  <si>
    <t>REDUCE</t>
  </si>
  <si>
    <t>Reduces an array to an accumulated value by applying a LAMBDA function.</t>
  </si>
  <si>
    <t>Réduit un tableau à une valeur cumulée en appliquant une fonction LAMBDA.</t>
  </si>
  <si>
    <t>SCAN</t>
  </si>
  <si>
    <t>Returns intermediate results of an accumulation operation for an array.</t>
  </si>
  <si>
    <t>Renvoie les résultats intermédiaires d'une opération cumulative sur un tableau.</t>
  </si>
  <si>
    <t>TEXTSPLIT</t>
  </si>
  <si>
    <t>FRACTIONNER.TEXTE</t>
  </si>
  <si>
    <t>Splits text strings into arrays using delimiters.</t>
  </si>
  <si>
    <t>Divise des chaînes de texte en tableaux à l'aide de délimiteurs.</t>
  </si>
  <si>
    <t>TAKE</t>
  </si>
  <si>
    <t>PRENDRE</t>
  </si>
  <si>
    <t>Returns a specified number of rows or columns from the start or end of an array.</t>
  </si>
  <si>
    <t>Renvoie un nombre spécifié de lignes ou de colonnes du début ou de la fin d'un tableau.</t>
  </si>
  <si>
    <t>DROP</t>
  </si>
  <si>
    <t>SUPPRIMER</t>
  </si>
  <si>
    <t>Excludes a specified number of rows or columns from an array.</t>
  </si>
  <si>
    <t>Exclut un nombre spécifié de lignes ou de colonnes d'un tableau.</t>
  </si>
  <si>
    <t>IMAGE</t>
  </si>
  <si>
    <t>Inserts an image into a cell from a URL.</t>
  </si>
  <si>
    <t>Insère une image dans une cellule à partir d'une URL.</t>
  </si>
  <si>
    <t>TEXTAFTER</t>
  </si>
  <si>
    <t>TEXTE.APRES</t>
  </si>
  <si>
    <t>Extracts text after a specified substring.</t>
  </si>
  <si>
    <t>Extrait le texte après une sous-chaîne spécifiée.</t>
  </si>
  <si>
    <t>TEXTBEFORE</t>
  </si>
  <si>
    <t>TEXTE.AVANT</t>
  </si>
  <si>
    <t>Extracts text before a specified substring.</t>
  </si>
  <si>
    <t>Extrait le texte avant une sous-chaîne spécifiée.</t>
  </si>
  <si>
    <t>STOCKHISTORY</t>
  </si>
  <si>
    <t>HISTORIQUE.ACTIONS</t>
  </si>
  <si>
    <t>Retrieves historical stock price data.</t>
  </si>
  <si>
    <t>Récupère les données historiques des cours boursiers.</t>
  </si>
  <si>
    <t>ISOMITTED</t>
  </si>
  <si>
    <t>Checks if a value is omitted from a LAMBDA or custom function.</t>
  </si>
  <si>
    <t>Vérifie si une valeur est omise dans une fonction LAMBDA ou personnalisée.</t>
  </si>
  <si>
    <t>IFERROR</t>
  </si>
  <si>
    <t>SIERREUR</t>
  </si>
  <si>
    <t>(Available earlier but updated) Handles errors and returns a specified value.</t>
  </si>
  <si>
    <t>(Disponible précédemment mais mise à jour) Gère les erreurs et renvoie une valeur spécifiée.</t>
  </si>
  <si>
    <t>IFNA</t>
  </si>
  <si>
    <t>SI.NA</t>
  </si>
  <si>
    <t>Handles #N/A errors specifically.</t>
  </si>
  <si>
    <t>Gère spécifiquement les erreurs #N/A.</t>
  </si>
  <si>
    <t>aggregates rows in a dataset by one or more grouping columns</t>
  </si>
  <si>
    <t>permet de regrouper des lignes d’un tableau et d’appliquer une fonction d’agrégation</t>
  </si>
  <si>
    <t>CROISER.AVEC</t>
  </si>
  <si>
    <t>summarizes data in a dynamic table format by grouping rows and calculating an aggregation</t>
  </si>
  <si>
    <t>crée un tableau croisé dynamique à partir d’un tableau source</t>
  </si>
  <si>
    <t>UPPER</t>
  </si>
  <si>
    <t>TRIM</t>
  </si>
  <si>
    <t>SUPPRESPACE</t>
  </si>
  <si>
    <t>Products</t>
  </si>
  <si>
    <t>Produits</t>
  </si>
  <si>
    <t>Unit price</t>
  </si>
  <si>
    <t>Prix unitaire</t>
  </si>
  <si>
    <t>cost</t>
  </si>
  <si>
    <t>Coût</t>
  </si>
  <si>
    <t>Last sale</t>
  </si>
  <si>
    <t>Dernière vente</t>
  </si>
  <si>
    <t>Qty</t>
  </si>
  <si>
    <t>Qté</t>
  </si>
  <si>
    <t>Logical tests</t>
  </si>
  <si>
    <t>Tests logiques</t>
  </si>
  <si>
    <t>Average</t>
  </si>
  <si>
    <t>Moyenne</t>
  </si>
  <si>
    <t>Threshold</t>
  </si>
  <si>
    <t>Seuil</t>
  </si>
  <si>
    <t>Advanced replacement for VLOOKUP and HLOOKUP, allowing for flexible lookups.
XLOOKUP(lookup_value, lookup_array, return_array, [if_not_found], [match_mode], [search_mode])</t>
  </si>
  <si>
    <t xml:space="preserve">Remplace RECHERCHEV et RECHERCHEH, permet des recherches plus flexibles.
=RECHERCHEX(valeur_cherchée, tableau_recherche, tableau_renvoyé, [si_non_trouvé], [mode_correspondance], [mode_recherche]) </t>
  </si>
  <si>
    <t xml:space="preserve">MAJUSCULE </t>
  </si>
  <si>
    <t>Converts all letters in a text string to uppercase.</t>
  </si>
  <si>
    <t>Convertit toutes les lettres d’une chaîne de texte en majuscules.</t>
  </si>
  <si>
    <t>LOWER</t>
  </si>
  <si>
    <t xml:space="preserve">MINUSCULE </t>
  </si>
  <si>
    <t>Converts all letters in a text string to lowercase.</t>
  </si>
  <si>
    <t>Convertit toutes les lettres d’une chaîne de texte en minuscules.</t>
  </si>
  <si>
    <t>PROPER</t>
  </si>
  <si>
    <t>NOMPROPRE</t>
  </si>
  <si>
    <t>Capitalizes the first letter of each word in a text string.</t>
  </si>
  <si>
    <t>Met en majuscule la première lettre de chaque mot d’une chaîne de texte.</t>
  </si>
  <si>
    <t xml:space="preserve">SUBSTITUTE </t>
  </si>
  <si>
    <t xml:space="preserve">SUBSTITUE </t>
  </si>
  <si>
    <t>Replaces occurrences of old text with new text in a string.</t>
  </si>
  <si>
    <t>Remplace un ancien texte par un nouveau dans une chaîne de texte.</t>
  </si>
  <si>
    <t>REPLACE</t>
  </si>
  <si>
    <t>REMPLACER</t>
  </si>
  <si>
    <t>Replaces part of a text string based on character position.</t>
  </si>
  <si>
    <t>Remplace une partie d’une chaîne de texte selon la position des caractères.</t>
  </si>
  <si>
    <t xml:space="preserve">TEXTJOIN </t>
  </si>
  <si>
    <t xml:space="preserve">JOINDRE.TEXTE </t>
  </si>
  <si>
    <t>Combines text from multiple ranges, with a delimiter.</t>
  </si>
  <si>
    <t>Combine du texte à partir de plusieurs plages en utilisant un séparateur.</t>
  </si>
  <si>
    <t>CONCAT</t>
  </si>
  <si>
    <t>Joins text from multiple ranges or strings without delimiter options.</t>
  </si>
  <si>
    <t>Concatène du texte à partir de plusieurs plages ou chaînes sans séparateur.</t>
  </si>
  <si>
    <t xml:space="preserve">LEFT </t>
  </si>
  <si>
    <t xml:space="preserve">GAUCHE </t>
  </si>
  <si>
    <t>Returns a specified number of characters from the start of a text string.</t>
  </si>
  <si>
    <t>Renvoie un nombre défini de caractères à partir du début d’une chaîne de texte.</t>
  </si>
  <si>
    <t xml:space="preserve">RIGHT </t>
  </si>
  <si>
    <t xml:space="preserve">DROITE </t>
  </si>
  <si>
    <t>Returns a specified number of characters from the end of a text string.</t>
  </si>
  <si>
    <t>Renvoie un nombre défini de caractères à partir de la fin d’une chaîne de texte.</t>
  </si>
  <si>
    <t xml:space="preserve">MID </t>
  </si>
  <si>
    <t xml:space="preserve"> STXT </t>
  </si>
  <si>
    <t>Returns a specific number of characters from a text string, starting at a given position.</t>
  </si>
  <si>
    <t>Renvoie un nombre spécifique de caractères à partir d’une position donnée.</t>
  </si>
  <si>
    <t>Removes all extra spaces from text, leaving single spaces between words.</t>
  </si>
  <si>
    <t>Supprime les espaces inutiles dans le texte, sauf ceux entre les mots.</t>
  </si>
  <si>
    <t>ISERROR</t>
  </si>
  <si>
    <t>ESTERREUR</t>
  </si>
  <si>
    <t>Returns TRUE if the value is any error.</t>
  </si>
  <si>
    <t>Renvoie VRAI si la valeur est une erreur.</t>
  </si>
  <si>
    <t>ISBLANK</t>
  </si>
  <si>
    <t>ESTVIDE</t>
  </si>
  <si>
    <t>Returns TRUE if the cell is empty.</t>
  </si>
  <si>
    <t>Renvoie VRAI si la cellule est vide.</t>
  </si>
  <si>
    <t>RAND</t>
  </si>
  <si>
    <t>ALEA</t>
  </si>
  <si>
    <t>Returns a random number between 0 and 1.</t>
  </si>
  <si>
    <t>Renvoie un nombre aléatoire entre 0 et 1.</t>
  </si>
  <si>
    <t>ROUNDDOWN</t>
  </si>
  <si>
    <t>ARRONDI.INF</t>
  </si>
  <si>
    <t>Rounds a number down, toward zero.</t>
  </si>
  <si>
    <t>Arrondit un nombre à l’inférieur, vers zéro.</t>
  </si>
  <si>
    <t>ROUNDUP</t>
  </si>
  <si>
    <t>ARRONDI.SUP</t>
  </si>
  <si>
    <t>Rounds a number up, away from zero.</t>
  </si>
  <si>
    <t>Arrondit un nombre à la hausse, à partir de zéro.</t>
  </si>
  <si>
    <t>RANDBETWEEN</t>
  </si>
  <si>
    <t>ALEA.ENTRE.BORNES</t>
  </si>
  <si>
    <t>Returns a random number between two values.</t>
  </si>
  <si>
    <t>Renvoie un nombre aléatoire entre deux valeurs.</t>
  </si>
  <si>
    <t>MROUND</t>
  </si>
  <si>
    <t>ARRONDI.MULTIPLE</t>
  </si>
  <si>
    <t>Rounds a number to the nearest multiple of a specified value.</t>
  </si>
  <si>
    <t>Arrondit un nombre au multiple le plus proche de la valeur spécifiée.</t>
  </si>
  <si>
    <t>ROUND</t>
  </si>
  <si>
    <t>ARRONDI</t>
  </si>
  <si>
    <t>Rounds a number to a specified number of digits.</t>
  </si>
  <si>
    <t>Arrondit un nombre au nombre de chiffres spécifié.</t>
  </si>
  <si>
    <t>TODAY</t>
  </si>
  <si>
    <t>AUJOURDHUI</t>
  </si>
  <si>
    <t>Returns the current date.</t>
  </si>
  <si>
    <t>Renvoie la date actuelle.</t>
  </si>
  <si>
    <t>NOW</t>
  </si>
  <si>
    <t>MAINTENANT</t>
  </si>
  <si>
    <t>Returns the current date and time.</t>
  </si>
  <si>
    <t>Renvoie la date et l’heure actuelles.</t>
  </si>
  <si>
    <t>DATE</t>
  </si>
  <si>
    <t>Returns a date from year, month, and day values.</t>
  </si>
  <si>
    <t>Renvoie une date à partir des valeurs d’année, mois et jour.</t>
  </si>
  <si>
    <t>EOMONTH</t>
  </si>
  <si>
    <t>FIN.MOIS</t>
  </si>
  <si>
    <t>Returns the last day of the month, before or after a specified number of months.</t>
  </si>
  <si>
    <t>Renvoie le dernier jour du mois, avant ou après un nombre de mois donné.</t>
  </si>
  <si>
    <t>DATEDIF</t>
  </si>
  <si>
    <t>Calculates the difference between two dates in various units.</t>
  </si>
  <si>
    <t>Calcule la différence entre deux dates selon différentes unités.</t>
  </si>
  <si>
    <t>YEAR</t>
  </si>
  <si>
    <t>ANNEE</t>
  </si>
  <si>
    <t>Returns the year of a date.</t>
  </si>
  <si>
    <t>Renvoie l’année d’une date.</t>
  </si>
  <si>
    <t>MONTH</t>
  </si>
  <si>
    <t>MOIS</t>
  </si>
  <si>
    <t>Returns the month of a date.</t>
  </si>
  <si>
    <t>Renvoie le mois d’une date.</t>
  </si>
  <si>
    <t>DAY</t>
  </si>
  <si>
    <t>JOUR</t>
  </si>
  <si>
    <t>Returns the day of a date.</t>
  </si>
  <si>
    <t>Renvoie le jour d’une date.</t>
  </si>
  <si>
    <t>WEEKDAY</t>
  </si>
  <si>
    <t>JOURSEM</t>
  </si>
  <si>
    <t>Returns the day of the week (1 = Sunday by default).</t>
  </si>
  <si>
    <t>Renvoie le jour de la semaine (1 = dimanche par défaut).</t>
  </si>
  <si>
    <t>WEEKNUM</t>
  </si>
  <si>
    <t>NO.SEMAINE</t>
  </si>
  <si>
    <t>Returns the week number of a date.</t>
  </si>
  <si>
    <t>Renvoie le numéro de la semaine d’une date.</t>
  </si>
  <si>
    <t>TIME</t>
  </si>
  <si>
    <t>TEMPS</t>
  </si>
  <si>
    <t>Returns a time value from hour, minute, and second.</t>
  </si>
  <si>
    <t>Renvoie une valeur d’heure à partir d’heure, minute et seconde.</t>
  </si>
  <si>
    <t>HOUR</t>
  </si>
  <si>
    <t>HEURE</t>
  </si>
  <si>
    <t>Extracts the hour from a time.</t>
  </si>
  <si>
    <t>Extrait l’heure d’une valeur de temps.</t>
  </si>
  <si>
    <t>MINUTE</t>
  </si>
  <si>
    <t>Extracts the minute from a time.</t>
  </si>
  <si>
    <t>Extrait les minutes d’une valeur de temps.</t>
  </si>
  <si>
    <t>SECOND</t>
  </si>
  <si>
    <t>SECONDE</t>
  </si>
  <si>
    <t>Extracts the second from a time.</t>
  </si>
  <si>
    <t>Extrait les secondes d’une valeur de temps.</t>
  </si>
  <si>
    <t>TEXT</t>
  </si>
  <si>
    <t>TEXTE</t>
  </si>
  <si>
    <t>Converts a number or date to text in a specific format using format codes.</t>
  </si>
  <si>
    <t>Convertit un nombre ou une date en texte dans un format spécifique avec des codes de format.</t>
  </si>
  <si>
    <t>YEARFRAC</t>
  </si>
  <si>
    <t>FRACTION.ANNEE</t>
  </si>
  <si>
    <t>Returns the fraction of the year between two dates.</t>
  </si>
  <si>
    <t>Renvoie la fraction d’année entre deux dates.</t>
  </si>
  <si>
    <t>AND</t>
  </si>
  <si>
    <t>ET</t>
  </si>
  <si>
    <t>Returns TRUE if all conditions are TRUE.</t>
  </si>
  <si>
    <t>Renvoie VRAI si toutes les conditions sont vraies.</t>
  </si>
  <si>
    <t>OR</t>
  </si>
  <si>
    <t>OU</t>
  </si>
  <si>
    <t>Returns TRUE if any condition is TRUE.</t>
  </si>
  <si>
    <t>Renvoie VRAI si au moins une condition est vraie.</t>
  </si>
  <si>
    <t>XOR</t>
  </si>
  <si>
    <t>OUX</t>
  </si>
  <si>
    <t>Returns TRUE if an odd number of conditions are TRUE.</t>
  </si>
  <si>
    <t>Renvoie VRAI si un nombre impair de conditions sont vraies.</t>
  </si>
  <si>
    <t>IF</t>
  </si>
  <si>
    <t>SI</t>
  </si>
  <si>
    <t>Returns one value if a condition is TRUE and another if FALSE.</t>
  </si>
  <si>
    <t>Renvoie une valeur si une condition est vraie, une autre si elle est fausse.</t>
  </si>
  <si>
    <t>INDEX</t>
  </si>
  <si>
    <t>Returns the value of a cell at the intersection of a row and column in a range.</t>
  </si>
  <si>
    <t>Renvoie la valeur d’une cellule à l’intersection d’une ligne et d’une colonne.</t>
  </si>
  <si>
    <t>Returns a reference to a range that is offset from a starting cell by rows and columns.</t>
  </si>
  <si>
    <t>Renvoie une référence à une plage décalée par rapport à une cellule de départ.</t>
  </si>
  <si>
    <t>VLOOKUP</t>
  </si>
  <si>
    <t>Searches for a value in the first column of a range and returns a value in the same row.
VLOOKUP( VALUE; SEARCH RANGE; RETURN COLUMN NUMBER; 0/1 )</t>
  </si>
  <si>
    <t>Recherche une valeur dans la première colonne d’une plage et renvoie une autre colonne.
RECHERCHEV( valeur_cherchée ; table_matrice ; no_index_col ; [valeur_proche])</t>
  </si>
  <si>
    <t>Searches for a value in the first row of a range and returns a value in the same column.</t>
  </si>
  <si>
    <t>Recherche une valeur dans la première ligne et renvoie une valeur de la colonne.</t>
  </si>
  <si>
    <t>SUMIF</t>
  </si>
  <si>
    <t>SOMME.SI</t>
  </si>
  <si>
    <t>Adds the values in a range that meet a single condition.</t>
  </si>
  <si>
    <t>Ajoute les valeurs d'une plage qui remplissent une condition</t>
  </si>
  <si>
    <t>COUNTIF</t>
  </si>
  <si>
    <t>NB.SI</t>
  </si>
  <si>
    <t>Counts the number of cells that meet a single condition.</t>
  </si>
  <si>
    <t>Compte les valeurs d'une plage qui remplissent une condition</t>
  </si>
  <si>
    <t>SUMIFS</t>
  </si>
  <si>
    <t>SOMME.SI.ENS</t>
  </si>
  <si>
    <t>Adds the values in a range that meet multiple criteria.</t>
  </si>
  <si>
    <t>Ajoute les valeurs d'une plage qui remplissent plusieurs conditions.</t>
  </si>
  <si>
    <t>COUNTIFS</t>
  </si>
  <si>
    <t>NB.SI.ENS</t>
  </si>
  <si>
    <t>Counts the number of rows that meet multiple conditions.</t>
  </si>
  <si>
    <t>Compte les valeurs d'une plage qui remplissent plusieurs conditions.</t>
  </si>
  <si>
    <t>AVERAGEIF</t>
  </si>
  <si>
    <t>MOYENNE.SI</t>
  </si>
  <si>
    <t>Calculates the average of values in a range that meet a single condition.</t>
  </si>
  <si>
    <t>Calcule la moyenne d'une plage selon une condition</t>
  </si>
  <si>
    <t>UNICHAR</t>
  </si>
  <si>
    <t>UNICAR</t>
  </si>
  <si>
    <t>returns the Unicode character referenced by the given numeric value</t>
  </si>
  <si>
    <t>renvoie le caractère Unicode correspondant à la valeur numérique spécifiée.</t>
  </si>
  <si>
    <t>LEN</t>
  </si>
  <si>
    <t>NBCAR</t>
  </si>
  <si>
    <t>returns the number of characters in a string</t>
  </si>
  <si>
    <t>renvoie le nombre de caractères d'une chaîne de texte</t>
  </si>
  <si>
    <t>SOMMEPROD</t>
  </si>
  <si>
    <t>Returns the sum of the products of corresponding ranges or arrays.</t>
  </si>
  <si>
    <t>Renvoie la somme des produits des plages ou tableaux correspondants.</t>
  </si>
  <si>
    <t>FREQUENCY</t>
  </si>
  <si>
    <t>FREQUENCE</t>
  </si>
  <si>
    <t>calculates how often values occur within a range of values, and then returns a vertical array of numbers.</t>
  </si>
  <si>
    <t>calcule la fréquence d’apparition des valeurs dans une plage de valeurs, puis renvoie des nombres sous forme de matrice verticale</t>
  </si>
  <si>
    <t>RANK.EQ</t>
  </si>
  <si>
    <t>EQUATION.RANG</t>
  </si>
  <si>
    <t>Returns the rank of a number in a list of numbers</t>
  </si>
  <si>
    <t>Renvoie le rang d’un nombre dans une liste de nombres. </t>
  </si>
  <si>
    <t>SUM</t>
  </si>
  <si>
    <t>SOMME</t>
  </si>
  <si>
    <t>AVERAGE</t>
  </si>
  <si>
    <t>MOYENNE</t>
  </si>
  <si>
    <t>DESC_FR</t>
  </si>
  <si>
    <t>DESC_ENG</t>
  </si>
  <si>
    <t>KEY_ENG</t>
  </si>
  <si>
    <t>KEY_FR</t>
  </si>
  <si>
    <t>The SUM function adds values together.</t>
  </si>
  <si>
    <r>
      <t xml:space="preserve">La fonction </t>
    </r>
    <r>
      <rPr>
        <b/>
        <sz val="11"/>
        <color theme="1"/>
        <rFont val="Segoe UI"/>
        <family val="2"/>
      </rPr>
      <t>SOMME</t>
    </r>
    <r>
      <rPr>
        <sz val="11"/>
        <color theme="1"/>
        <rFont val="Segoe UI"/>
        <family val="2"/>
      </rPr>
      <t xml:space="preserve"> </t>
    </r>
    <r>
      <rPr>
        <i/>
        <sz val="11"/>
        <color theme="1"/>
        <rFont val="Segoe UI"/>
        <family val="2"/>
      </rPr>
      <t>additionne des valeurs</t>
    </r>
    <r>
      <rPr>
        <sz val="11"/>
        <color theme="1"/>
        <rFont val="Segoe UI"/>
        <family val="2"/>
      </rPr>
      <t>.</t>
    </r>
  </si>
  <si>
    <t>The AVERAGE function calcultes the average of a range of values.</t>
  </si>
  <si>
    <t>La fonction MOYENNE calcule la moyenne arithmétique d'une plage de valeurs.</t>
  </si>
  <si>
    <t>txt_FR</t>
  </si>
  <si>
    <t>txt_ENG</t>
  </si>
  <si>
    <t>Fondamentaux d'une formule</t>
  </si>
  <si>
    <t>Formula fundamentals</t>
  </si>
  <si>
    <t>Must start with the '=' sign</t>
  </si>
  <si>
    <t>Excel can be used as a calculator</t>
  </si>
  <si>
    <t xml:space="preserve">Il faut commencer par le signe '=' </t>
  </si>
  <si>
    <t>Excel peut servir de calculatrice</t>
  </si>
  <si>
    <t xml:space="preserve">Links to the content of the cell </t>
  </si>
  <si>
    <t>Liens vers le contenu de la cellule</t>
  </si>
  <si>
    <t>Exemples</t>
  </si>
  <si>
    <t>Examples</t>
  </si>
  <si>
    <t>Adding cell values</t>
  </si>
  <si>
    <t>Ajout des valeurs de cellules</t>
  </si>
  <si>
    <t>The SUM function to add cell values</t>
  </si>
  <si>
    <t>The SUM function to add all cell values in a range</t>
  </si>
  <si>
    <t>Beware of the use of '(' and ')'</t>
  </si>
  <si>
    <t>Attention à l’utilisation de « ( » et « ) »</t>
  </si>
  <si>
    <t>Calculates the average value of a range of cells</t>
  </si>
  <si>
    <t>Calcule la valeur moyenne d’une plage de cellules</t>
  </si>
  <si>
    <t>Click inside the formula bar to view the cells used in this formula</t>
  </si>
  <si>
    <t>Cliquez dans la barre de formule pour voir les cellules utilisées dans cette formule</t>
  </si>
  <si>
    <t>Formulas &gt; Trace Precedent</t>
  </si>
  <si>
    <t>Formules &gt; Repérer les antécédents</t>
  </si>
  <si>
    <t>Formulas &gt; Trace Dependent</t>
  </si>
  <si>
    <t>Formules &gt; Repérer les dépendants</t>
  </si>
  <si>
    <t>Displays arrows to the cells used in the formula</t>
  </si>
  <si>
    <t>Affiche des flèches vers les cellules utilisées dans la formule</t>
  </si>
  <si>
    <t>Displays arrows to the cells using this formula</t>
  </si>
  <si>
    <t>Affiche des flèches vers les cellules qui utilisent cette formule</t>
  </si>
  <si>
    <t>The 'fx' button to the left of the formula bar pops up a window with details and results of the selected formula</t>
  </si>
  <si>
    <t>Le bouton 'fx' à gauche de la barre de formules ouvre une fenêtre avec les détails et résultats de la formule sélectionnée</t>
  </si>
  <si>
    <t>Use: click on a cell containing a formula then click on 'fx'.</t>
  </si>
  <si>
    <t>Utilisation : cliquez sur une cellule contenant une formule puis cliquez sur 'fx'.</t>
  </si>
  <si>
    <t>In case of multiple functions used inside the formula, click on the desired function before pressing 'fx'.</t>
  </si>
  <si>
    <t>Dans le cas où plusieurs fonctions sont utilisées dans la formule, cliquez sur la fonction désirée avant d’appuyer sur 'fx'.</t>
  </si>
  <si>
    <t>Logical functions</t>
  </si>
  <si>
    <t>Fonctions logiques</t>
  </si>
  <si>
    <t>SI | ET | OU</t>
  </si>
  <si>
    <t>IF | AND | OR</t>
  </si>
  <si>
    <t>Langue choisie:</t>
  </si>
  <si>
    <r>
      <t>FRAN</t>
    </r>
    <r>
      <rPr>
        <sz val="11"/>
        <color theme="1"/>
        <rFont val="Aptos Narrow"/>
        <family val="2"/>
      </rPr>
      <t>Ç</t>
    </r>
    <r>
      <rPr>
        <sz val="11"/>
        <color theme="1"/>
        <rFont val="Calibri"/>
        <family val="2"/>
        <scheme val="minor"/>
      </rPr>
      <t>AIS</t>
    </r>
  </si>
  <si>
    <t>FRANÇAIS</t>
  </si>
  <si>
    <t>COND1</t>
  </si>
  <si>
    <t>COND2</t>
  </si>
  <si>
    <t>SSD 500 GB</t>
  </si>
  <si>
    <t>SSD 1 TB</t>
  </si>
  <si>
    <t>SSD 2 TB</t>
  </si>
  <si>
    <t>HDD 2 TB</t>
  </si>
  <si>
    <t>HDD 4TB</t>
  </si>
  <si>
    <t>HDD 8 TB</t>
  </si>
  <si>
    <t>A23</t>
  </si>
  <si>
    <t>RELATIVE REFERENCE</t>
  </si>
  <si>
    <t>$A$23</t>
  </si>
  <si>
    <t>ABSOLUTE REFERENCE</t>
  </si>
  <si>
    <t>$A23 or A$23</t>
  </si>
  <si>
    <t>MIXED REFERENCE</t>
  </si>
  <si>
    <t>Absolute and relative cell references</t>
  </si>
  <si>
    <t>Références absolues et relatives de cellule</t>
  </si>
  <si>
    <t xml:space="preserve">RÉFÉRENCE RELATIVE </t>
  </si>
  <si>
    <t xml:space="preserve">RÉFÉRENCE ABSOLUE </t>
  </si>
  <si>
    <t>RÉFÉRENCE MIXTE</t>
  </si>
  <si>
    <t>Montant</t>
  </si>
  <si>
    <t>Amount</t>
  </si>
  <si>
    <t xml:space="preserve"> with taxes</t>
  </si>
  <si>
    <t xml:space="preserve"> TTC</t>
  </si>
  <si>
    <t>Both the row or the column can be modified when copying the formula</t>
  </si>
  <si>
    <t>La ligne ou la colonne peuvent être modifiées lors de la copie de la formule</t>
  </si>
  <si>
    <t>The reference is locked. It will always point to that cell.</t>
  </si>
  <si>
    <t>La référence est verrouillée. Elle pointera toujours vers cette cellule.</t>
  </si>
  <si>
    <t>Either the row or the column reference is locked. Only the free dimension can be modified.</t>
  </si>
  <si>
    <t>Soit la ligne, soit la référence colonne est verrouillée. Seule la dimension libre peut être modifiée.</t>
  </si>
  <si>
    <t>Margin</t>
  </si>
  <si>
    <t>TOTAL</t>
  </si>
  <si>
    <t>Appuyez sur F4 pendant la saisie de la référence pour passer de relative à absolue ou mixte</t>
  </si>
  <si>
    <t>Press F4 while typing the cell refernce to toggle between relative, absolute or mixed reference</t>
  </si>
  <si>
    <t>Lorsqu’une formule est copiée, elle se souvient de la position relative des cellules utilisées à l’intérieur</t>
  </si>
  <si>
    <t>When a formula is copied, it remembers the relative position of the cells used within it</t>
  </si>
  <si>
    <t>An absolute Reference will not be modified when copied elsewhere</t>
  </si>
  <si>
    <t>Une référence absolue ne sera pas modifiée lorsqu’elle est copiée ailleurs</t>
  </si>
  <si>
    <t>A mixed reference only blocks one of the two dimensions</t>
  </si>
  <si>
    <t>Une référence mixte ne bloque qu’une des deux dimensions</t>
  </si>
  <si>
    <t>starts with</t>
  </si>
  <si>
    <t>commence par</t>
  </si>
  <si>
    <t>If the sum of the quantities exceeds the average, then display the number otherwise not.</t>
  </si>
  <si>
    <t>Display the text 'YES' if the cost is between 100 and 200</t>
  </si>
  <si>
    <t>Show sales totals for all 'SSD' products</t>
  </si>
  <si>
    <t>Pour chaque ligne, si la somme des quantités dépasse la moyenne, alors afficher le nombre sinon non.</t>
  </si>
  <si>
    <t>Afficher les totaux de vente pour tous les produits 'SSD'</t>
  </si>
  <si>
    <t>Identifiez le numéro du jour dans la semaine de [Dernière vente]</t>
  </si>
  <si>
    <t>Identify the number of the day of the week of [Last Sale]</t>
  </si>
  <si>
    <t>Affichez le nom du jour de la semaine avec SI.MULTIPLE</t>
  </si>
  <si>
    <t>Display the name of the day of the week with SWITCH</t>
  </si>
  <si>
    <t>Vérifiez des conditions multiples avec SI.MULTIPLE</t>
  </si>
  <si>
    <t>Check multiple conditions with IFS</t>
  </si>
  <si>
    <t>IFS</t>
  </si>
  <si>
    <t>SI.CONDITIONS</t>
  </si>
  <si>
    <t>SWITCH</t>
  </si>
  <si>
    <t>SI.MULTIPLE</t>
  </si>
  <si>
    <r>
      <t xml:space="preserve">Evaluates multiple conditions in order and returns the result for the </t>
    </r>
    <r>
      <rPr>
        <b/>
        <sz val="11"/>
        <color theme="1"/>
        <rFont val="Segoe UI"/>
        <family val="2"/>
      </rPr>
      <t>first</t>
    </r>
    <r>
      <rPr>
        <sz val="11"/>
        <color theme="1"/>
        <rFont val="Segoe UI"/>
        <family val="2"/>
      </rPr>
      <t xml:space="preserve"> condition that is TRUE</t>
    </r>
  </si>
  <si>
    <r>
      <t xml:space="preserve">Teste plusieurs conditions </t>
    </r>
    <r>
      <rPr>
        <b/>
        <sz val="11"/>
        <color theme="1"/>
        <rFont val="Segoe UI"/>
        <family val="2"/>
      </rPr>
      <t>dans l’ordre</t>
    </r>
    <r>
      <rPr>
        <sz val="11"/>
        <color theme="1"/>
        <rFont val="Segoe UI"/>
        <family val="2"/>
      </rPr>
      <t xml:space="preserve"> et renvoie la valeur associée à la </t>
    </r>
    <r>
      <rPr>
        <b/>
        <sz val="11"/>
        <color theme="1"/>
        <rFont val="Segoe UI"/>
        <family val="2"/>
      </rPr>
      <t>première</t>
    </r>
    <r>
      <rPr>
        <sz val="11"/>
        <color theme="1"/>
        <rFont val="Segoe UI"/>
        <family val="2"/>
      </rPr>
      <t xml:space="preserve"> condition vraie</t>
    </r>
  </si>
  <si>
    <r>
      <t xml:space="preserve">Evaluates a </t>
    </r>
    <r>
      <rPr>
        <b/>
        <sz val="11"/>
        <color theme="1"/>
        <rFont val="Segoe UI"/>
        <family val="2"/>
      </rPr>
      <t>single expression</t>
    </r>
    <r>
      <rPr>
        <sz val="11"/>
        <color theme="1"/>
        <rFont val="Segoe UI"/>
        <family val="2"/>
      </rPr>
      <t xml:space="preserve"> and matches it against one or more </t>
    </r>
    <r>
      <rPr>
        <b/>
        <sz val="11"/>
        <color theme="1"/>
        <rFont val="Segoe UI"/>
        <family val="2"/>
      </rPr>
      <t>exact values</t>
    </r>
  </si>
  <si>
    <r>
      <t xml:space="preserve">Évalue </t>
    </r>
    <r>
      <rPr>
        <b/>
        <sz val="11"/>
        <color theme="1"/>
        <rFont val="Segoe UI"/>
        <family val="2"/>
      </rPr>
      <t>une expression unique</t>
    </r>
    <r>
      <rPr>
        <sz val="11"/>
        <color theme="1"/>
        <rFont val="Segoe UI"/>
        <family val="2"/>
      </rPr>
      <t xml:space="preserve"> et la compare à plusieurs </t>
    </r>
    <r>
      <rPr>
        <b/>
        <sz val="11"/>
        <color theme="1"/>
        <rFont val="Segoe UI"/>
        <family val="2"/>
      </rPr>
      <t>valeurs précises</t>
    </r>
  </si>
  <si>
    <t>Nom du jour de semaine</t>
  </si>
  <si>
    <t>Weekday Name</t>
  </si>
  <si>
    <t xml:space="preserve">Displays 'Unit Price &gt; 200' if [Unit Price] is greater than 200 </t>
  </si>
  <si>
    <t xml:space="preserve">Displays 'Starts with S' poster if [Products] starts with the letter S </t>
  </si>
  <si>
    <t>Affiche 'Commence par S' si [Produits] commence par la lettre S</t>
  </si>
  <si>
    <t>Affiche P.U. &gt; 200 si [Prix unitaire] est plus grand que 200</t>
  </si>
  <si>
    <t>Displays the Number of the day in the week - WEEKDAY()</t>
  </si>
  <si>
    <t>Affiche le No du jour dans la semaine - JOURSEM()</t>
  </si>
  <si>
    <t>Weekday Number</t>
  </si>
  <si>
    <t>No du jour de semaine</t>
  </si>
  <si>
    <t>Calculez la colonne [Montant3] = 10% de [Montant1]</t>
  </si>
  <si>
    <t>Calculez le Montant TTC (=TOTAL+TVA)</t>
  </si>
  <si>
    <t>Calculez les prévisions en fonction de la marge (=(TOTAL+Marge)+TVA)</t>
  </si>
  <si>
    <t>Calculate the column [Amount3] = 10% of [Amount1]</t>
  </si>
  <si>
    <t>Calculez les totaux sur chaque ligne</t>
  </si>
  <si>
    <t>Calculate the Amount including VAT (=TOTAL+VAT)</t>
  </si>
  <si>
    <t>Calculate forecasts based on margin (=(TOTAL+Margin)+VAT)</t>
  </si>
  <si>
    <t>Calculate the totals on each row</t>
  </si>
  <si>
    <t>Afficher le texte 'OUI' si le coût est situé entre 100 et 200</t>
  </si>
  <si>
    <t>Displays 'Cost &lt; 100' if [Cost] is less than 100</t>
  </si>
  <si>
    <t>Affiche Coût &lt; 100 si [Coût] est inférieur à 100</t>
  </si>
  <si>
    <t>La fonction SOMME pour ajouter les valeurs des cellules</t>
  </si>
  <si>
    <t>La fonction SOMME additionne toutes les valeurs de cellules dans une plage</t>
  </si>
  <si>
    <t>Fonctions à connaître</t>
  </si>
  <si>
    <t>PWR-16-Small</t>
  </si>
  <si>
    <t>70056-2343</t>
  </si>
  <si>
    <t>PW-18-Medium</t>
  </si>
  <si>
    <t>75023-5774</t>
  </si>
  <si>
    <t>PW-19-Large</t>
  </si>
  <si>
    <t>17451-6655</t>
  </si>
  <si>
    <t>CWS-20-Medium</t>
  </si>
  <si>
    <t>54189-2546</t>
  </si>
  <si>
    <t>CWTP-21-Large</t>
  </si>
  <si>
    <t>45185-7814</t>
  </si>
  <si>
    <t>Geforce RTX 3060</t>
  </si>
  <si>
    <t>Geforce RTX 3070</t>
  </si>
  <si>
    <t>Geforce RTX 4070</t>
  </si>
  <si>
    <t>Geforce RTX 4080</t>
  </si>
  <si>
    <t>Geforce RTX 4090</t>
  </si>
  <si>
    <t>Radeon 7900</t>
  </si>
  <si>
    <t>Radeon 6700</t>
  </si>
  <si>
    <t>Prix Max</t>
  </si>
  <si>
    <t>Prix Min.</t>
  </si>
  <si>
    <t>Prix Moyen</t>
  </si>
  <si>
    <t>Trouve la valeur max d'une plage</t>
  </si>
  <si>
    <t>Trouve la valeur min d'une plage</t>
  </si>
  <si>
    <t>Concaténer des chaînes de caractères avec des nombres dans une formule</t>
  </si>
  <si>
    <t>Find the max value in a range</t>
  </si>
  <si>
    <t>Find the min value in a range</t>
  </si>
  <si>
    <t>Concatenating strings and numbers inside a formula</t>
  </si>
  <si>
    <t>Produit</t>
  </si>
  <si>
    <t>Quantité</t>
  </si>
  <si>
    <t>Prix Unitaire</t>
  </si>
  <si>
    <t>Nom Client</t>
  </si>
  <si>
    <t>Date Commande</t>
  </si>
  <si>
    <t>Ville</t>
  </si>
  <si>
    <t>Code Produit</t>
  </si>
  <si>
    <t>Stylo bleu</t>
  </si>
  <si>
    <t>Martin</t>
  </si>
  <si>
    <t>Lausanne</t>
  </si>
  <si>
    <t>STY-BLEU-01</t>
  </si>
  <si>
    <t>Cahier A4</t>
  </si>
  <si>
    <t>Dupont</t>
  </si>
  <si>
    <t>Genève</t>
  </si>
  <si>
    <t>CAH-A4-05</t>
  </si>
  <si>
    <t>Agenda 2024</t>
  </si>
  <si>
    <t>Pascal</t>
  </si>
  <si>
    <t>Fribourg</t>
  </si>
  <si>
    <t>AGD-2024-07</t>
  </si>
  <si>
    <t>Souris USB</t>
  </si>
  <si>
    <t>Laurent</t>
  </si>
  <si>
    <t>Sion</t>
  </si>
  <si>
    <t>SRS-USB-03</t>
  </si>
  <si>
    <t>Clavier AZERTY</t>
  </si>
  <si>
    <t>Fontaine</t>
  </si>
  <si>
    <t>Neuchâtel</t>
  </si>
  <si>
    <t>CLV-AZT-04</t>
  </si>
  <si>
    <t>Montant TTC</t>
  </si>
  <si>
    <t>3premiers</t>
  </si>
  <si>
    <t>2derniers</t>
  </si>
  <si>
    <t>Nb car.</t>
  </si>
  <si>
    <t>Pos. Tiret</t>
  </si>
  <si>
    <t>Partie centrale</t>
  </si>
  <si>
    <t>Pos. 2e tiret</t>
  </si>
  <si>
    <t>Fractionnement code</t>
  </si>
  <si>
    <t>Année</t>
  </si>
  <si>
    <t>Date livr. Est.</t>
  </si>
  <si>
    <t>Expiration</t>
  </si>
  <si>
    <t>Frais Livraison</t>
  </si>
  <si>
    <t>Taxe recyclage</t>
  </si>
  <si>
    <t>Frais de livraison</t>
  </si>
  <si>
    <t>Taxe de recyclage</t>
  </si>
  <si>
    <t>Solution en colonne AZ</t>
  </si>
  <si>
    <t>EXERCICE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</si>
</sst>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CHF&quot;_-;\-* #,##0.00\ &quot;CHF&quot;_-;_-* &quot;-&quot;??\ &quot;CHF&quot;_-;_-@_-"/>
    <numFmt numFmtId="164" formatCode="_-* #,##0\ &quot;CHF&quot;_-;\-* #,##0\ &quot;CHF&quot;_-;_-* &quot;-&quot;??\ &quot;CHF&quot;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sz val="20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i/>
      <sz val="11"/>
      <color theme="1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6454F"/>
      <name val="Calibri"/>
      <family val="2"/>
      <scheme val="minor"/>
    </font>
    <font>
      <b/>
      <sz val="14"/>
      <color theme="7"/>
      <name val="Calibri"/>
      <family val="2"/>
      <scheme val="minor"/>
    </font>
    <font>
      <sz val="8"/>
      <name val="Calibri"/>
      <family val="2"/>
      <scheme val="minor"/>
    </font>
    <font>
      <i/>
      <sz val="1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6"/>
      <color theme="9" tint="-0.249977111117893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5F5F5"/>
        <bgColor indexed="64"/>
      </patternFill>
    </fill>
  </fills>
  <borders count="25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7" tint="0.39997558519241921"/>
      </left>
      <right/>
      <top style="medium">
        <color theme="7" tint="0.39997558519241921"/>
      </top>
      <bottom style="medium">
        <color theme="7" tint="0.39997558519241921"/>
      </bottom>
      <diagonal/>
    </border>
    <border>
      <left/>
      <right/>
      <top style="medium">
        <color theme="7" tint="0.39997558519241921"/>
      </top>
      <bottom style="medium">
        <color theme="7" tint="0.39997558519241921"/>
      </bottom>
      <diagonal/>
    </border>
    <border>
      <left/>
      <right style="medium">
        <color theme="7" tint="0.39997558519241921"/>
      </right>
      <top style="medium">
        <color theme="7" tint="0.39997558519241921"/>
      </top>
      <bottom style="medium">
        <color theme="7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/>
      </left>
      <right/>
      <top style="thin">
        <color theme="7"/>
      </top>
      <bottom style="thin">
        <color theme="9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/>
      </top>
      <bottom style="thin">
        <color theme="9" tint="0.39997558519241921"/>
      </bottom>
      <diagonal/>
    </border>
    <border>
      <left/>
      <right/>
      <top style="thin">
        <color theme="7"/>
      </top>
      <bottom style="thin">
        <color theme="9" tint="0.39997558519241921"/>
      </bottom>
      <diagonal/>
    </border>
    <border>
      <left style="thin">
        <color theme="7" tint="0.39997558519241921"/>
      </left>
      <right style="thin">
        <color theme="7"/>
      </right>
      <top style="thin">
        <color theme="7"/>
      </top>
      <bottom style="thin">
        <color theme="9" tint="0.39997558519241921"/>
      </bottom>
      <diagonal/>
    </border>
    <border>
      <left style="thin">
        <color theme="7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 tint="0.39997558519241921"/>
      </left>
      <right style="thin">
        <color theme="7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/>
      </left>
      <right/>
      <top style="thin">
        <color theme="9" tint="0.39997558519241921"/>
      </top>
      <bottom style="thin">
        <color theme="7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9" tint="0.39997558519241921"/>
      </top>
      <bottom style="thin">
        <color theme="7"/>
      </bottom>
      <diagonal/>
    </border>
    <border>
      <left/>
      <right/>
      <top style="thin">
        <color theme="9" tint="0.39997558519241921"/>
      </top>
      <bottom style="thin">
        <color theme="7"/>
      </bottom>
      <diagonal/>
    </border>
    <border>
      <left style="thin">
        <color theme="7" tint="0.39997558519241921"/>
      </left>
      <right style="thin">
        <color theme="7"/>
      </right>
      <top style="thin">
        <color theme="9" tint="0.39997558519241921"/>
      </top>
      <bottom style="thin">
        <color theme="7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21" fillId="14" borderId="0"/>
    <xf numFmtId="0" fontId="14" fillId="7" borderId="0"/>
    <xf numFmtId="1" fontId="15" fillId="3" borderId="0"/>
    <xf numFmtId="0" fontId="23" fillId="15" borderId="0"/>
    <xf numFmtId="0" fontId="24" fillId="0" borderId="0"/>
  </cellStyleXfs>
  <cellXfs count="97">
    <xf numFmtId="0" fontId="0" fillId="0" borderId="0" xfId="0"/>
    <xf numFmtId="0" fontId="5" fillId="0" borderId="0" xfId="0" applyFont="1"/>
    <xf numFmtId="0" fontId="0" fillId="0" borderId="0" xfId="0" applyAlignment="1">
      <alignment horizontal="left"/>
    </xf>
    <xf numFmtId="0" fontId="0" fillId="4" borderId="0" xfId="0" applyFill="1"/>
    <xf numFmtId="0" fontId="7" fillId="5" borderId="3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5" borderId="2" xfId="0" applyFont="1" applyFill="1" applyBorder="1"/>
    <xf numFmtId="0" fontId="7" fillId="5" borderId="3" xfId="0" applyFont="1" applyFill="1" applyBorder="1"/>
    <xf numFmtId="0" fontId="7" fillId="5" borderId="1" xfId="0" applyFont="1" applyFill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5" borderId="1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1" fillId="14" borderId="0" xfId="4" quotePrefix="1"/>
    <xf numFmtId="0" fontId="12" fillId="0" borderId="0" xfId="0" applyFont="1"/>
    <xf numFmtId="0" fontId="13" fillId="0" borderId="0" xfId="0" applyFont="1"/>
    <xf numFmtId="0" fontId="21" fillId="14" borderId="0" xfId="4"/>
    <xf numFmtId="0" fontId="0" fillId="6" borderId="4" xfId="0" applyFill="1" applyBorder="1"/>
    <xf numFmtId="0" fontId="0" fillId="6" borderId="0" xfId="0" applyFill="1"/>
    <xf numFmtId="1" fontId="15" fillId="8" borderId="0" xfId="6" applyFill="1"/>
    <xf numFmtId="1" fontId="8" fillId="8" borderId="0" xfId="6" applyFont="1" applyFill="1"/>
    <xf numFmtId="0" fontId="16" fillId="0" borderId="7" xfId="0" applyFont="1" applyBorder="1"/>
    <xf numFmtId="1" fontId="16" fillId="0" borderId="7" xfId="0" applyNumberFormat="1" applyFont="1" applyBorder="1"/>
    <xf numFmtId="0" fontId="16" fillId="0" borderId="7" xfId="0" applyFont="1" applyBorder="1" applyAlignment="1">
      <alignment horizontal="right"/>
    </xf>
    <xf numFmtId="164" fontId="0" fillId="6" borderId="0" xfId="1" applyNumberFormat="1" applyFont="1" applyFill="1"/>
    <xf numFmtId="14" fontId="0" fillId="6" borderId="0" xfId="1" applyNumberFormat="1" applyFont="1" applyFill="1"/>
    <xf numFmtId="1" fontId="0" fillId="6" borderId="0" xfId="0" applyNumberFormat="1" applyFill="1"/>
    <xf numFmtId="0" fontId="2" fillId="9" borderId="8" xfId="0" applyFont="1" applyFill="1" applyBorder="1"/>
    <xf numFmtId="0" fontId="0" fillId="10" borderId="8" xfId="0" applyFill="1" applyBorder="1"/>
    <xf numFmtId="0" fontId="0" fillId="0" borderId="8" xfId="0" applyBorder="1"/>
    <xf numFmtId="0" fontId="15" fillId="3" borderId="0" xfId="0" applyFont="1" applyFill="1"/>
    <xf numFmtId="0" fontId="15" fillId="12" borderId="0" xfId="0" applyFont="1" applyFill="1"/>
    <xf numFmtId="0" fontId="15" fillId="11" borderId="0" xfId="0" applyFont="1" applyFill="1"/>
    <xf numFmtId="0" fontId="17" fillId="0" borderId="0" xfId="0" applyFont="1"/>
    <xf numFmtId="0" fontId="2" fillId="13" borderId="0" xfId="0" applyFont="1" applyFill="1" applyAlignment="1">
      <alignment horizontal="right"/>
    </xf>
    <xf numFmtId="10" fontId="2" fillId="13" borderId="0" xfId="0" applyNumberFormat="1" applyFont="1" applyFill="1"/>
    <xf numFmtId="9" fontId="2" fillId="13" borderId="0" xfId="2" applyFont="1" applyFill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1" xfId="0" applyBorder="1"/>
    <xf numFmtId="0" fontId="18" fillId="0" borderId="0" xfId="0" applyFont="1"/>
    <xf numFmtId="0" fontId="15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vertical="top" wrapText="1"/>
    </xf>
    <xf numFmtId="0" fontId="3" fillId="2" borderId="0" xfId="3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2" fillId="0" borderId="0" xfId="0" quotePrefix="1" applyFont="1" applyAlignment="1">
      <alignment wrapText="1"/>
    </xf>
    <xf numFmtId="0" fontId="2" fillId="9" borderId="12" xfId="0" applyFont="1" applyFill="1" applyBorder="1"/>
    <xf numFmtId="9" fontId="2" fillId="9" borderId="12" xfId="0" applyNumberFormat="1" applyFont="1" applyFill="1" applyBorder="1" applyAlignment="1">
      <alignment horizontal="center"/>
    </xf>
    <xf numFmtId="0" fontId="0" fillId="0" borderId="13" xfId="0" applyBorder="1"/>
    <xf numFmtId="0" fontId="0" fillId="10" borderId="13" xfId="0" applyFill="1" applyBorder="1"/>
    <xf numFmtId="0" fontId="14" fillId="7" borderId="0" xfId="5" applyAlignment="1">
      <alignment horizontal="center"/>
    </xf>
    <xf numFmtId="0" fontId="0" fillId="14" borderId="0" xfId="0" applyFill="1"/>
    <xf numFmtId="0" fontId="6" fillId="14" borderId="0" xfId="0" applyFont="1" applyFill="1"/>
    <xf numFmtId="0" fontId="3" fillId="14" borderId="0" xfId="0" applyFont="1" applyFill="1"/>
    <xf numFmtId="0" fontId="5" fillId="14" borderId="6" xfId="0" applyFont="1" applyFill="1" applyBorder="1"/>
    <xf numFmtId="0" fontId="22" fillId="14" borderId="5" xfId="0" applyFont="1" applyFill="1" applyBorder="1"/>
    <xf numFmtId="0" fontId="0" fillId="10" borderId="14" xfId="0" applyFill="1" applyBorder="1"/>
    <xf numFmtId="0" fontId="0" fillId="10" borderId="15" xfId="0" applyFill="1" applyBorder="1"/>
    <xf numFmtId="0" fontId="0" fillId="10" borderId="16" xfId="0" applyFill="1" applyBorder="1"/>
    <xf numFmtId="0" fontId="0" fillId="10" borderId="17" xfId="0" applyFill="1" applyBorder="1"/>
    <xf numFmtId="0" fontId="0" fillId="0" borderId="18" xfId="0" applyBorder="1"/>
    <xf numFmtId="0" fontId="0" fillId="0" borderId="19" xfId="0" applyBorder="1"/>
    <xf numFmtId="0" fontId="0" fillId="10" borderId="18" xfId="0" applyFill="1" applyBorder="1"/>
    <xf numFmtId="0" fontId="0" fillId="10" borderId="19" xfId="0" applyFill="1" applyBorder="1"/>
    <xf numFmtId="0" fontId="0" fillId="10" borderId="20" xfId="0" applyFill="1" applyBorder="1"/>
    <xf numFmtId="0" fontId="0" fillId="10" borderId="21" xfId="0" applyFill="1" applyBorder="1"/>
    <xf numFmtId="0" fontId="0" fillId="10" borderId="22" xfId="0" applyFill="1" applyBorder="1"/>
    <xf numFmtId="0" fontId="0" fillId="10" borderId="23" xfId="0" applyFill="1" applyBorder="1"/>
    <xf numFmtId="0" fontId="23" fillId="15" borderId="0" xfId="7"/>
    <xf numFmtId="0" fontId="7" fillId="16" borderId="0" xfId="0" applyFont="1" applyFill="1"/>
    <xf numFmtId="14" fontId="14" fillId="7" borderId="0" xfId="5" applyNumberFormat="1"/>
    <xf numFmtId="0" fontId="7" fillId="0" borderId="0" xfId="0" applyFont="1"/>
    <xf numFmtId="22" fontId="14" fillId="7" borderId="0" xfId="5" applyNumberFormat="1"/>
    <xf numFmtId="0" fontId="24" fillId="0" borderId="0" xfId="8"/>
    <xf numFmtId="1" fontId="14" fillId="7" borderId="0" xfId="5" applyNumberFormat="1"/>
    <xf numFmtId="0" fontId="14" fillId="7" borderId="0" xfId="5"/>
    <xf numFmtId="0" fontId="7" fillId="16" borderId="0" xfId="0" applyFont="1" applyFill="1" applyAlignment="1">
      <alignment horizontal="center" vertical="center" wrapText="1"/>
    </xf>
    <xf numFmtId="0" fontId="7" fillId="16" borderId="0" xfId="0" applyFont="1" applyFill="1" applyAlignment="1">
      <alignment horizontal="center" vertical="center"/>
    </xf>
    <xf numFmtId="0" fontId="7" fillId="6" borderId="0" xfId="0" applyFont="1" applyFill="1"/>
    <xf numFmtId="0" fontId="3" fillId="2" borderId="4" xfId="3" applyBorder="1"/>
    <xf numFmtId="0" fontId="3" fillId="2" borderId="0" xfId="3"/>
    <xf numFmtId="0" fontId="24" fillId="0" borderId="0" xfId="8" applyAlignment="1">
      <alignment vertical="center"/>
    </xf>
    <xf numFmtId="0" fontId="24" fillId="0" borderId="0" xfId="8" applyAlignment="1">
      <alignment horizontal="center" vertical="center" wrapText="1"/>
    </xf>
    <xf numFmtId="0" fontId="24" fillId="0" borderId="0" xfId="8" applyAlignment="1">
      <alignment horizontal="left" vertical="center"/>
    </xf>
    <xf numFmtId="0" fontId="22" fillId="14" borderId="0" xfId="0" applyFont="1" applyFill="1"/>
    <xf numFmtId="14" fontId="0" fillId="0" borderId="0" xfId="0" applyNumberFormat="1"/>
    <xf numFmtId="0" fontId="10" fillId="17" borderId="24" xfId="0" applyFont="1" applyFill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14" fontId="9" fillId="0" borderId="24" xfId="0" applyNumberFormat="1" applyFont="1" applyBorder="1" applyAlignment="1">
      <alignment vertical="center"/>
    </xf>
  </cellXfs>
  <cellStyles count="9">
    <cellStyle name="Accent4" xfId="3" builtinId="41"/>
    <cellStyle name="Highlight_formula" xfId="8" xr:uid="{02CE9339-9021-4C95-A669-0E8B93528FAB}"/>
    <cellStyle name="Monétaire" xfId="1" builtinId="4"/>
    <cellStyle name="Normal" xfId="0" builtinId="0"/>
    <cellStyle name="Pourcentage" xfId="2" builtinId="5"/>
    <cellStyle name="Resultat" xfId="5" xr:uid="{C1B303DC-E035-4BEA-A0BF-051AB9D0B7B5}"/>
    <cellStyle name="Style 1" xfId="4" xr:uid="{69DF3A10-BA30-4458-AEDD-CC7574FF85DF}"/>
    <cellStyle name="titre_lignecol" xfId="6" xr:uid="{015433F4-016C-4611-99BF-80B69ED21B83}"/>
    <cellStyle name="TitreH1" xfId="7" xr:uid="{E5274DF6-CD71-40B1-A575-AA20B73B5046}"/>
  </cellStyles>
  <dxfs count="2">
    <dxf>
      <fill>
        <patternFill>
          <bgColor theme="7" tint="0.79998168889431442"/>
        </patternFill>
      </fill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sv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svg"/><Relationship Id="rId1" Type="http://schemas.openxmlformats.org/officeDocument/2006/relationships/image" Target="../media/image6.png"/><Relationship Id="rId6" Type="http://schemas.openxmlformats.org/officeDocument/2006/relationships/image" Target="../media/image11.svg"/><Relationship Id="rId5" Type="http://schemas.openxmlformats.org/officeDocument/2006/relationships/image" Target="../media/image10.png"/><Relationship Id="rId4" Type="http://schemas.openxmlformats.org/officeDocument/2006/relationships/image" Target="../media/image9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svg"/><Relationship Id="rId3" Type="http://schemas.openxmlformats.org/officeDocument/2006/relationships/image" Target="../media/image8.png"/><Relationship Id="rId7" Type="http://schemas.openxmlformats.org/officeDocument/2006/relationships/image" Target="../media/image14.png"/><Relationship Id="rId2" Type="http://schemas.openxmlformats.org/officeDocument/2006/relationships/image" Target="../media/image7.svg"/><Relationship Id="rId1" Type="http://schemas.openxmlformats.org/officeDocument/2006/relationships/image" Target="../media/image6.png"/><Relationship Id="rId6" Type="http://schemas.openxmlformats.org/officeDocument/2006/relationships/image" Target="../media/image11.svg"/><Relationship Id="rId5" Type="http://schemas.openxmlformats.org/officeDocument/2006/relationships/image" Target="../media/image10.png"/><Relationship Id="rId10" Type="http://schemas.openxmlformats.org/officeDocument/2006/relationships/image" Target="../media/image13.svg"/><Relationship Id="rId4" Type="http://schemas.openxmlformats.org/officeDocument/2006/relationships/image" Target="../media/image9.sv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32</xdr:row>
      <xdr:rowOff>152400</xdr:rowOff>
    </xdr:from>
    <xdr:to>
      <xdr:col>2</xdr:col>
      <xdr:colOff>2410160</xdr:colOff>
      <xdr:row>35</xdr:row>
      <xdr:rowOff>85795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067A900-BC32-6788-93BB-3666E0566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6362700"/>
          <a:ext cx="2400635" cy="50489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</xdr:col>
      <xdr:colOff>752475</xdr:colOff>
      <xdr:row>28</xdr:row>
      <xdr:rowOff>161925</xdr:rowOff>
    </xdr:from>
    <xdr:to>
      <xdr:col>2</xdr:col>
      <xdr:colOff>1724267</xdr:colOff>
      <xdr:row>30</xdr:row>
      <xdr:rowOff>95294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959DCEB-F9DB-007D-D0C7-28E80C0F8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5991225"/>
          <a:ext cx="1733792" cy="31436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47625</xdr:colOff>
      <xdr:row>38</xdr:row>
      <xdr:rowOff>104775</xdr:rowOff>
    </xdr:from>
    <xdr:to>
      <xdr:col>2</xdr:col>
      <xdr:colOff>2314891</xdr:colOff>
      <xdr:row>41</xdr:row>
      <xdr:rowOff>38170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BE470A49-A2E6-1444-47D7-EF202F695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1625" y="7458075"/>
          <a:ext cx="2267266" cy="50489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19050</xdr:colOff>
      <xdr:row>44</xdr:row>
      <xdr:rowOff>114300</xdr:rowOff>
    </xdr:from>
    <xdr:to>
      <xdr:col>2</xdr:col>
      <xdr:colOff>2391106</xdr:colOff>
      <xdr:row>54</xdr:row>
      <xdr:rowOff>66934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D1B31F05-42F7-6B8D-FFF5-ACA94160F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3050" y="8610600"/>
          <a:ext cx="2372056" cy="185763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6</xdr:col>
      <xdr:colOff>686556</xdr:colOff>
      <xdr:row>75</xdr:row>
      <xdr:rowOff>95662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F89844C-4B0F-569E-D4DD-AA0942CB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11544300"/>
          <a:ext cx="5420481" cy="2953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595312</xdr:colOff>
      <xdr:row>45</xdr:row>
      <xdr:rowOff>38100</xdr:rowOff>
    </xdr:from>
    <xdr:to>
      <xdr:col>2</xdr:col>
      <xdr:colOff>1135312</xdr:colOff>
      <xdr:row>47</xdr:row>
      <xdr:rowOff>149475</xdr:rowOff>
    </xdr:to>
    <xdr:pic>
      <xdr:nvPicPr>
        <xdr:cNvPr id="2" name="Graphique 1" descr="Badge 1 avec un remplissage uni">
          <a:extLst>
            <a:ext uri="{FF2B5EF4-FFF2-40B4-BE49-F238E27FC236}">
              <a16:creationId xmlns:a16="http://schemas.microsoft.com/office/drawing/2014/main" id="{DC1ADFD2-AA6E-4096-9A4C-6BA8EC85E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33587" y="915352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595312</xdr:colOff>
      <xdr:row>51</xdr:row>
      <xdr:rowOff>102387</xdr:rowOff>
    </xdr:from>
    <xdr:to>
      <xdr:col>2</xdr:col>
      <xdr:colOff>1135312</xdr:colOff>
      <xdr:row>53</xdr:row>
      <xdr:rowOff>166137</xdr:rowOff>
    </xdr:to>
    <xdr:pic>
      <xdr:nvPicPr>
        <xdr:cNvPr id="3" name="Graphique 2" descr="Badge 3 avec un remplissage uni">
          <a:extLst>
            <a:ext uri="{FF2B5EF4-FFF2-40B4-BE49-F238E27FC236}">
              <a16:creationId xmlns:a16="http://schemas.microsoft.com/office/drawing/2014/main" id="{065F27BE-8F72-4A42-BE4A-8E18BB22D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033587" y="10598937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595312</xdr:colOff>
      <xdr:row>48</xdr:row>
      <xdr:rowOff>75006</xdr:rowOff>
    </xdr:from>
    <xdr:to>
      <xdr:col>2</xdr:col>
      <xdr:colOff>1135312</xdr:colOff>
      <xdr:row>50</xdr:row>
      <xdr:rowOff>138756</xdr:rowOff>
    </xdr:to>
    <xdr:pic>
      <xdr:nvPicPr>
        <xdr:cNvPr id="4" name="Graphique 3" descr="Badge avec un remplissage uni">
          <a:extLst>
            <a:ext uri="{FF2B5EF4-FFF2-40B4-BE49-F238E27FC236}">
              <a16:creationId xmlns:a16="http://schemas.microsoft.com/office/drawing/2014/main" id="{683C7475-885E-4F3C-9483-F854892E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33587" y="9857181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595312</xdr:colOff>
      <xdr:row>54</xdr:row>
      <xdr:rowOff>91669</xdr:rowOff>
    </xdr:from>
    <xdr:to>
      <xdr:col>2</xdr:col>
      <xdr:colOff>1135312</xdr:colOff>
      <xdr:row>56</xdr:row>
      <xdr:rowOff>155419</xdr:rowOff>
    </xdr:to>
    <xdr:pic>
      <xdr:nvPicPr>
        <xdr:cNvPr id="5" name="Graphique 4" descr="Badge 4 avec un remplissage uni">
          <a:extLst>
            <a:ext uri="{FF2B5EF4-FFF2-40B4-BE49-F238E27FC236}">
              <a16:creationId xmlns:a16="http://schemas.microsoft.com/office/drawing/2014/main" id="{401678B4-51D8-4216-9853-FA4FE76F1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033587" y="11302594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338137</xdr:colOff>
      <xdr:row>41</xdr:row>
      <xdr:rowOff>57150</xdr:rowOff>
    </xdr:from>
    <xdr:to>
      <xdr:col>3</xdr:col>
      <xdr:colOff>878137</xdr:colOff>
      <xdr:row>44</xdr:row>
      <xdr:rowOff>25650</xdr:rowOff>
    </xdr:to>
    <xdr:pic>
      <xdr:nvPicPr>
        <xdr:cNvPr id="6" name="Graphique 5" descr="Badge 1 avec un remplissage uni">
          <a:extLst>
            <a:ext uri="{FF2B5EF4-FFF2-40B4-BE49-F238E27FC236}">
              <a16:creationId xmlns:a16="http://schemas.microsoft.com/office/drawing/2014/main" id="{19AB1D77-0255-4066-BD3C-EDDC8F087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57512" y="841057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185737</xdr:colOff>
      <xdr:row>41</xdr:row>
      <xdr:rowOff>57150</xdr:rowOff>
    </xdr:from>
    <xdr:to>
      <xdr:col>5</xdr:col>
      <xdr:colOff>725737</xdr:colOff>
      <xdr:row>44</xdr:row>
      <xdr:rowOff>25650</xdr:rowOff>
    </xdr:to>
    <xdr:pic>
      <xdr:nvPicPr>
        <xdr:cNvPr id="7" name="Graphique 6" descr="Badge 3 avec un remplissage uni">
          <a:extLst>
            <a:ext uri="{FF2B5EF4-FFF2-40B4-BE49-F238E27FC236}">
              <a16:creationId xmlns:a16="http://schemas.microsoft.com/office/drawing/2014/main" id="{77297A23-DD49-4C14-AC5F-DCF4EFDEE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748212" y="841057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</xdr:colOff>
      <xdr:row>41</xdr:row>
      <xdr:rowOff>57150</xdr:rowOff>
    </xdr:from>
    <xdr:to>
      <xdr:col>4</xdr:col>
      <xdr:colOff>668587</xdr:colOff>
      <xdr:row>44</xdr:row>
      <xdr:rowOff>25650</xdr:rowOff>
    </xdr:to>
    <xdr:pic>
      <xdr:nvPicPr>
        <xdr:cNvPr id="8" name="Graphique 7" descr="Badge avec un remplissage uni">
          <a:extLst>
            <a:ext uri="{FF2B5EF4-FFF2-40B4-BE49-F238E27FC236}">
              <a16:creationId xmlns:a16="http://schemas.microsoft.com/office/drawing/2014/main" id="{0DCBC4F6-22A2-4384-81C6-F91121B4E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29062" y="841057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109537</xdr:colOff>
      <xdr:row>42</xdr:row>
      <xdr:rowOff>104775</xdr:rowOff>
    </xdr:from>
    <xdr:to>
      <xdr:col>7</xdr:col>
      <xdr:colOff>649537</xdr:colOff>
      <xdr:row>45</xdr:row>
      <xdr:rowOff>73275</xdr:rowOff>
    </xdr:to>
    <xdr:pic>
      <xdr:nvPicPr>
        <xdr:cNvPr id="9" name="Graphique 8" descr="Badge 4 avec un remplissage uni">
          <a:extLst>
            <a:ext uri="{FF2B5EF4-FFF2-40B4-BE49-F238E27FC236}">
              <a16:creationId xmlns:a16="http://schemas.microsoft.com/office/drawing/2014/main" id="{51A8BE3D-8C05-43D4-92D5-A609A20B3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253162" y="8648700"/>
          <a:ext cx="540000" cy="540000"/>
        </a:xfrm>
        <a:prstGeom prst="rect">
          <a:avLst/>
        </a:prstGeom>
      </xdr:spPr>
    </xdr:pic>
    <xdr:clientData/>
  </xdr:twoCellAnchor>
  <xdr:twoCellAnchor>
    <xdr:from>
      <xdr:col>6</xdr:col>
      <xdr:colOff>9524</xdr:colOff>
      <xdr:row>41</xdr:row>
      <xdr:rowOff>57149</xdr:rowOff>
    </xdr:from>
    <xdr:to>
      <xdr:col>9</xdr:col>
      <xdr:colOff>0</xdr:colOff>
      <xdr:row>43</xdr:row>
      <xdr:rowOff>38100</xdr:rowOff>
    </xdr:to>
    <xdr:sp macro="" textlink="">
      <xdr:nvSpPr>
        <xdr:cNvPr id="10" name="Accolade fermante 9">
          <a:extLst>
            <a:ext uri="{FF2B5EF4-FFF2-40B4-BE49-F238E27FC236}">
              <a16:creationId xmlns:a16="http://schemas.microsoft.com/office/drawing/2014/main" id="{1E21BD2E-1B7F-5E0E-00B3-E21E9D4C2383}"/>
            </a:ext>
          </a:extLst>
        </xdr:cNvPr>
        <xdr:cNvSpPr/>
      </xdr:nvSpPr>
      <xdr:spPr>
        <a:xfrm rot="5400000" flipV="1">
          <a:off x="6348411" y="7453312"/>
          <a:ext cx="361951" cy="2276476"/>
        </a:xfrm>
        <a:prstGeom prst="rightBrac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6</xdr:row>
      <xdr:rowOff>92868</xdr:rowOff>
    </xdr:from>
    <xdr:to>
      <xdr:col>11</xdr:col>
      <xdr:colOff>1292475</xdr:colOff>
      <xdr:row>9</xdr:row>
      <xdr:rowOff>13743</xdr:rowOff>
    </xdr:to>
    <xdr:pic>
      <xdr:nvPicPr>
        <xdr:cNvPr id="4" name="Graphique 3" descr="Badge 1 avec un remplissage uni">
          <a:extLst>
            <a:ext uri="{FF2B5EF4-FFF2-40B4-BE49-F238E27FC236}">
              <a16:creationId xmlns:a16="http://schemas.microsoft.com/office/drawing/2014/main" id="{00FDAB1F-9DB0-9A8D-70D9-F43666735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582400" y="1883568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666750</xdr:colOff>
      <xdr:row>6</xdr:row>
      <xdr:rowOff>92868</xdr:rowOff>
    </xdr:from>
    <xdr:to>
      <xdr:col>15</xdr:col>
      <xdr:colOff>1206750</xdr:colOff>
      <xdr:row>9</xdr:row>
      <xdr:rowOff>13743</xdr:rowOff>
    </xdr:to>
    <xdr:pic>
      <xdr:nvPicPr>
        <xdr:cNvPr id="6" name="Graphique 5" descr="Badge 3 avec un remplissage uni">
          <a:extLst>
            <a:ext uri="{FF2B5EF4-FFF2-40B4-BE49-F238E27FC236}">
              <a16:creationId xmlns:a16="http://schemas.microsoft.com/office/drawing/2014/main" id="{A0490331-291E-90A4-6D38-052AC037A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344900" y="1883568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626250</xdr:colOff>
      <xdr:row>6</xdr:row>
      <xdr:rowOff>92868</xdr:rowOff>
    </xdr:from>
    <xdr:to>
      <xdr:col>13</xdr:col>
      <xdr:colOff>1166250</xdr:colOff>
      <xdr:row>9</xdr:row>
      <xdr:rowOff>13743</xdr:rowOff>
    </xdr:to>
    <xdr:pic>
      <xdr:nvPicPr>
        <xdr:cNvPr id="8" name="Graphique 7" descr="Badge avec un remplissage uni">
          <a:extLst>
            <a:ext uri="{FF2B5EF4-FFF2-40B4-BE49-F238E27FC236}">
              <a16:creationId xmlns:a16="http://schemas.microsoft.com/office/drawing/2014/main" id="{DC5D955B-5697-DDEE-BD68-6089F3291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999350" y="1883568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20</xdr:row>
      <xdr:rowOff>60712</xdr:rowOff>
    </xdr:from>
    <xdr:to>
      <xdr:col>8</xdr:col>
      <xdr:colOff>597150</xdr:colOff>
      <xdr:row>20</xdr:row>
      <xdr:rowOff>600712</xdr:rowOff>
    </xdr:to>
    <xdr:pic>
      <xdr:nvPicPr>
        <xdr:cNvPr id="10" name="Graphique 9" descr="Badge 5 avec un remplissage uni">
          <a:extLst>
            <a:ext uri="{FF2B5EF4-FFF2-40B4-BE49-F238E27FC236}">
              <a16:creationId xmlns:a16="http://schemas.microsoft.com/office/drawing/2014/main" id="{318EF349-870F-EF1F-9020-9BA405A90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601075" y="5651887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711975</xdr:colOff>
      <xdr:row>20</xdr:row>
      <xdr:rowOff>70237</xdr:rowOff>
    </xdr:from>
    <xdr:to>
      <xdr:col>4</xdr:col>
      <xdr:colOff>1251975</xdr:colOff>
      <xdr:row>20</xdr:row>
      <xdr:rowOff>610237</xdr:rowOff>
    </xdr:to>
    <xdr:pic>
      <xdr:nvPicPr>
        <xdr:cNvPr id="12" name="Graphique 11" descr="Badge 4 avec un remplissage uni">
          <a:extLst>
            <a:ext uri="{FF2B5EF4-FFF2-40B4-BE49-F238E27FC236}">
              <a16:creationId xmlns:a16="http://schemas.microsoft.com/office/drawing/2014/main" id="{DC1A7C17-B692-8BD6-A056-A8DBD44B3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7650" y="5661412"/>
          <a:ext cx="540000" cy="54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104773</xdr:colOff>
      <xdr:row>13</xdr:row>
      <xdr:rowOff>23810</xdr:rowOff>
    </xdr:from>
    <xdr:to>
      <xdr:col>9</xdr:col>
      <xdr:colOff>476249</xdr:colOff>
      <xdr:row>35</xdr:row>
      <xdr:rowOff>114299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B4CAE45-788A-E47F-F35E-354553E82AA6}"/>
            </a:ext>
          </a:extLst>
        </xdr:cNvPr>
        <xdr:cNvSpPr txBox="1"/>
      </xdr:nvSpPr>
      <xdr:spPr>
        <a:xfrm>
          <a:off x="104773" y="2681285"/>
          <a:ext cx="8210551" cy="42814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EXERCICE</a:t>
          </a:r>
          <a:b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Ajouter une colonne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Montant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Quantité * Prix Unitaire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Ajouter une colonne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Montant TTC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Montant +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TVA</a:t>
          </a:r>
          <a:b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Arrondissez ces 2 colonnes à l'unité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ARRONDI()</a:t>
          </a:r>
          <a:b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Extraire les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premières lettres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du code produit→ GAUCHE()</a:t>
          </a:r>
        </a:p>
        <a:p>
          <a:pPr fontAlgn="t"/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Extraire les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derniers caractères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 code produit → DROITE() </a:t>
          </a:r>
        </a:p>
        <a:p>
          <a:pPr fontAlgn="t"/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Déterminer le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 total de caractères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 nom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du produit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NBCAR() </a:t>
          </a:r>
        </a:p>
        <a:p>
          <a:pPr marL="0" marR="0" lvl="0" indent="0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Trouver la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position du tiret "-"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dans le code produit → CHERCHE("-"; Cellule)</a:t>
          </a:r>
          <a:b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Trouver la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position du 2e tiret "-"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dans le code produit → CHERCHE("-"; Cellule;no_depart)</a:t>
          </a:r>
          <a:endParaRPr lang="en-US" sz="1200">
            <a:effectLst/>
          </a:endParaRPr>
        </a:p>
        <a:p>
          <a:pPr fontAlgn="t"/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Extraire la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partie centrale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(entre les deux tirets) dans le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code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STXT()</a:t>
          </a:r>
          <a:b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Fractionner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 code produit par rapport au "-"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Fractionner.texte()</a:t>
          </a:r>
        </a:p>
        <a:p>
          <a:pPr fontAlgn="t"/>
          <a:endParaRPr lang="en-US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Ajouter la colonne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Année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extraite de “Date commande” → ANNEE()</a:t>
          </a:r>
        </a:p>
        <a:p>
          <a:pPr fontAlgn="t"/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Ajouter une colonne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 de livraison estimée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Date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Commande + 30 jours</a:t>
          </a:r>
        </a:p>
        <a:p>
          <a:pPr fontAlgn="t"/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Ajouter le texte 'Traité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le: '  suivi de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date du jour en A11 → AUJOURDHUI() + concaténer</a:t>
          </a:r>
        </a:p>
        <a:p>
          <a:pPr fontAlgn="t"/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Ajouter la colonne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 d'expiration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(Date Commande + 3 ans) → DATE()</a:t>
          </a:r>
        </a:p>
        <a:p>
          <a:pPr fontAlgn="t"/>
          <a:endParaRPr lang="en-US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Ajouter une colonne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Frais</a:t>
          </a:r>
          <a:r>
            <a:rPr lang="en-US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livraison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qui affiche le nombre en F11 si le total de la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commande est &lt; 70</a:t>
          </a:r>
          <a:b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Ajouter une colonne </a:t>
          </a:r>
          <a:r>
            <a:rPr lang="en-US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Taxe recyclage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qui affiche le nombre en F12 si les 2 derniers chiffres du code produit sont 3 ou 4.</a:t>
          </a:r>
          <a:endParaRPr lang="en-US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CEL-GENERAL/FORMULES%20EXCEL_2025.xlsx" TargetMode="External"/><Relationship Id="rId2" Type="http://schemas.openxmlformats.org/officeDocument/2006/relationships/externalLinkPath" Target="https://lmoreau.sharepoint.com/sites/FORMATIONS2/EXCEL/EXCEL-GENERAL/FORMULES%20EXCEL_2025.xlsx" TargetMode="External"/><Relationship Id="rId1" Type="http://schemas.openxmlformats.org/officeDocument/2006/relationships/externalLinkPath" Target="/sites/FORMATIONS2/EXCEL/EXCEL-GENERAL/FORMULES%20EXCEL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ADFUNCTIONS"/>
      <sheetName val="TRAD"/>
      <sheetName val="A1. 365"/>
      <sheetName val="A2. ARRAY"/>
      <sheetName val="MENU"/>
      <sheetName val="10. LOGIC"/>
      <sheetName val="20. DATE - TIME"/>
      <sheetName val="Décompte d'heures"/>
      <sheetName val="25. ROUND - RAND"/>
      <sheetName val="35. ERR"/>
      <sheetName val="40. TEXT"/>
      <sheetName val="30. COND. STATS"/>
      <sheetName val="33. SUMPRODUCT"/>
      <sheetName val="50. FILTER"/>
      <sheetName val="50. SORT"/>
      <sheetName val="60. INDEX"/>
      <sheetName val="RECHERCHE"/>
      <sheetName val="60. VLOOKUP"/>
      <sheetName val="60. HLOOKUP"/>
      <sheetName val="60. XLOOKUP"/>
      <sheetName val="70. FREQUENCY - RANK"/>
      <sheetName val="75. STDEV"/>
      <sheetName val="78. TABLE MANIP."/>
      <sheetName val="80. GROUPBY"/>
      <sheetName val="81. PIVOTBY"/>
      <sheetName val="100. LET"/>
      <sheetName val="110. LAMBDA"/>
      <sheetName val="100. TREND"/>
      <sheetName val="Prévisions"/>
    </sheetNames>
    <sheetDataSet>
      <sheetData sheetId="0"/>
      <sheetData sheetId="1">
        <row r="4">
          <cell r="C4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EC690B-6176-41D2-939D-99788D3F47DD}" name="Tableau3" displayName="Tableau3" ref="A1:E97" totalsRowShown="0" headerRowDxfId="1">
  <autoFilter ref="A1:E97" xr:uid="{59EC690B-6176-41D2-939D-99788D3F47DD}"/>
  <tableColumns count="5">
    <tableColumn id="1" xr3:uid="{66322987-3FB7-4A51-86A2-0158E2964B63}" name="ID"/>
    <tableColumn id="2" xr3:uid="{2FA830CF-3583-4613-9AA9-86ADA84E60F4}" name="KEY_ENG"/>
    <tableColumn id="3" xr3:uid="{1A8AF86F-F723-4675-B01A-917043A14CB3}" name="KEY_FR"/>
    <tableColumn id="4" xr3:uid="{A4824B8E-B7E2-4224-A389-4DB05E6AD327}" name="DESC_ENG"/>
    <tableColumn id="5" xr3:uid="{9E2C60C8-5E00-4C53-8D58-ECC5731462E5}" name="DESC_F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A36A04-B5A8-4FE8-9373-004C47CF8C4B}" name="tbl_txt" displayName="tbl_txt" ref="A5:C68" insertRowShift="1" totalsRowShown="0">
  <autoFilter ref="A5:C68" xr:uid="{BEA36A04-B5A8-4FE8-9373-004C47CF8C4B}"/>
  <tableColumns count="3">
    <tableColumn id="1" xr3:uid="{57F47CA3-CDEE-413D-B118-0B9D9300D537}" name="ID"/>
    <tableColumn id="2" xr3:uid="{5141B322-7A9B-4341-84AC-713D2D53E186}" name="txt_ENG"/>
    <tableColumn id="3" xr3:uid="{A9C84053-80A2-4AF6-89F0-376816DC6BDD}" name="txt_F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ExcelGeneral">
      <a:dk1>
        <a:srgbClr val="36454F"/>
      </a:dk1>
      <a:lt1>
        <a:sysClr val="window" lastClr="FFFFFF"/>
      </a:lt1>
      <a:dk2>
        <a:srgbClr val="49732F"/>
      </a:dk2>
      <a:lt2>
        <a:srgbClr val="E7E6E6"/>
      </a:lt2>
      <a:accent1>
        <a:srgbClr val="50C878"/>
      </a:accent1>
      <a:accent2>
        <a:srgbClr val="228B22"/>
      </a:accent2>
      <a:accent3>
        <a:srgbClr val="98FF98"/>
      </a:accent3>
      <a:accent4>
        <a:srgbClr val="660066"/>
      </a:accent4>
      <a:accent5>
        <a:srgbClr val="FFC000"/>
      </a:accent5>
      <a:accent6>
        <a:srgbClr val="008080"/>
      </a:accent6>
      <a:hlink>
        <a:srgbClr val="008000"/>
      </a:hlink>
      <a:folHlink>
        <a:srgbClr val="C490AA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E699-8B65-4AFA-ACA4-D8E4F7ECD728}">
  <dimension ref="A1:E97"/>
  <sheetViews>
    <sheetView workbookViewId="0">
      <selection activeCell="D102" sqref="D102"/>
    </sheetView>
  </sheetViews>
  <sheetFormatPr baseColWidth="10" defaultRowHeight="15" x14ac:dyDescent="0.25"/>
  <cols>
    <col min="2" max="2" width="19" customWidth="1"/>
    <col min="3" max="3" width="28.28515625" bestFit="1" customWidth="1"/>
    <col min="4" max="4" width="53.7109375" customWidth="1"/>
    <col min="5" max="5" width="96.5703125" customWidth="1"/>
  </cols>
  <sheetData>
    <row r="1" spans="1:5" x14ac:dyDescent="0.25">
      <c r="A1" t="s">
        <v>77</v>
      </c>
      <c r="B1" t="s">
        <v>442</v>
      </c>
      <c r="C1" t="s">
        <v>443</v>
      </c>
      <c r="D1" t="s">
        <v>441</v>
      </c>
      <c r="E1" t="s">
        <v>440</v>
      </c>
    </row>
    <row r="2" spans="1:5" ht="21" x14ac:dyDescent="0.35">
      <c r="A2" s="11">
        <v>10</v>
      </c>
      <c r="B2" s="9" t="s">
        <v>43</v>
      </c>
      <c r="C2" s="9" t="s">
        <v>44</v>
      </c>
      <c r="D2" s="9" t="s">
        <v>84</v>
      </c>
      <c r="E2" s="10" t="s">
        <v>85</v>
      </c>
    </row>
    <row r="3" spans="1:5" ht="21" x14ac:dyDescent="0.35">
      <c r="A3" s="12">
        <v>20</v>
      </c>
      <c r="B3" s="13" t="s">
        <v>86</v>
      </c>
      <c r="C3" s="13" t="s">
        <v>87</v>
      </c>
      <c r="D3" s="13" t="s">
        <v>88</v>
      </c>
      <c r="E3" s="14" t="s">
        <v>89</v>
      </c>
    </row>
    <row r="4" spans="1:5" ht="21" x14ac:dyDescent="0.35">
      <c r="A4" s="11">
        <v>30</v>
      </c>
      <c r="B4" s="9" t="s">
        <v>90</v>
      </c>
      <c r="C4" s="9" t="s">
        <v>91</v>
      </c>
      <c r="D4" s="9" t="s">
        <v>92</v>
      </c>
      <c r="E4" s="10" t="s">
        <v>93</v>
      </c>
    </row>
    <row r="5" spans="1:5" ht="21" x14ac:dyDescent="0.35">
      <c r="A5" s="12">
        <v>40</v>
      </c>
      <c r="B5" s="13" t="s">
        <v>94</v>
      </c>
      <c r="C5" s="13" t="s">
        <v>94</v>
      </c>
      <c r="D5" s="13" t="s">
        <v>95</v>
      </c>
      <c r="E5" s="14" t="s">
        <v>96</v>
      </c>
    </row>
    <row r="6" spans="1:5" ht="21" x14ac:dyDescent="0.35">
      <c r="A6" s="11">
        <v>50</v>
      </c>
      <c r="B6" s="9" t="s">
        <v>97</v>
      </c>
      <c r="C6" s="9" t="s">
        <v>97</v>
      </c>
      <c r="D6" s="9" t="s">
        <v>98</v>
      </c>
      <c r="E6" s="10" t="s">
        <v>99</v>
      </c>
    </row>
    <row r="7" spans="1:5" ht="21" x14ac:dyDescent="0.35">
      <c r="A7" s="12">
        <v>60</v>
      </c>
      <c r="B7" s="13" t="s">
        <v>100</v>
      </c>
      <c r="C7" s="13" t="s">
        <v>101</v>
      </c>
      <c r="D7" s="13" t="s">
        <v>102</v>
      </c>
      <c r="E7" s="14" t="s">
        <v>103</v>
      </c>
    </row>
    <row r="8" spans="1:5" ht="21" x14ac:dyDescent="0.35">
      <c r="A8" s="11">
        <v>70</v>
      </c>
      <c r="B8" s="9" t="s">
        <v>108</v>
      </c>
      <c r="C8" s="9" t="s">
        <v>109</v>
      </c>
      <c r="D8" s="9" t="s">
        <v>110</v>
      </c>
      <c r="E8" s="10" t="s">
        <v>111</v>
      </c>
    </row>
    <row r="9" spans="1:5" ht="21" x14ac:dyDescent="0.35">
      <c r="A9" s="12">
        <v>80</v>
      </c>
      <c r="B9" s="13" t="s">
        <v>112</v>
      </c>
      <c r="C9" s="13" t="s">
        <v>113</v>
      </c>
      <c r="D9" s="13" t="s">
        <v>114</v>
      </c>
      <c r="E9" s="14" t="s">
        <v>115</v>
      </c>
    </row>
    <row r="10" spans="1:5" ht="21" x14ac:dyDescent="0.35">
      <c r="A10" s="11">
        <v>90</v>
      </c>
      <c r="B10" s="9" t="s">
        <v>116</v>
      </c>
      <c r="C10" s="9" t="s">
        <v>117</v>
      </c>
      <c r="D10" s="9" t="s">
        <v>118</v>
      </c>
      <c r="E10" s="10" t="s">
        <v>119</v>
      </c>
    </row>
    <row r="11" spans="1:5" ht="21" x14ac:dyDescent="0.35">
      <c r="A11" s="12">
        <v>100</v>
      </c>
      <c r="B11" s="13" t="s">
        <v>120</v>
      </c>
      <c r="C11" s="13" t="s">
        <v>121</v>
      </c>
      <c r="D11" s="13" t="s">
        <v>122</v>
      </c>
      <c r="E11" s="14" t="s">
        <v>123</v>
      </c>
    </row>
    <row r="12" spans="1:5" ht="21" x14ac:dyDescent="0.35">
      <c r="A12" s="11">
        <v>110</v>
      </c>
      <c r="B12" s="9" t="s">
        <v>124</v>
      </c>
      <c r="C12" s="9" t="s">
        <v>125</v>
      </c>
      <c r="D12" s="9" t="s">
        <v>126</v>
      </c>
      <c r="E12" s="10" t="s">
        <v>127</v>
      </c>
    </row>
    <row r="13" spans="1:5" ht="21" x14ac:dyDescent="0.35">
      <c r="A13" s="12">
        <v>120</v>
      </c>
      <c r="B13" s="13" t="s">
        <v>128</v>
      </c>
      <c r="C13" s="13" t="s">
        <v>129</v>
      </c>
      <c r="D13" s="13" t="s">
        <v>130</v>
      </c>
      <c r="E13" s="14" t="s">
        <v>131</v>
      </c>
    </row>
    <row r="14" spans="1:5" ht="21" x14ac:dyDescent="0.35">
      <c r="A14" s="11">
        <v>130</v>
      </c>
      <c r="B14" s="9" t="s">
        <v>132</v>
      </c>
      <c r="C14" s="9" t="s">
        <v>133</v>
      </c>
      <c r="D14" s="9" t="s">
        <v>134</v>
      </c>
      <c r="E14" s="10" t="s">
        <v>135</v>
      </c>
    </row>
    <row r="15" spans="1:5" ht="21" x14ac:dyDescent="0.35">
      <c r="A15" s="12">
        <v>140</v>
      </c>
      <c r="B15" s="13" t="s">
        <v>136</v>
      </c>
      <c r="C15" s="13" t="s">
        <v>137</v>
      </c>
      <c r="D15" s="13" t="s">
        <v>138</v>
      </c>
      <c r="E15" s="14" t="s">
        <v>139</v>
      </c>
    </row>
    <row r="16" spans="1:5" ht="21" x14ac:dyDescent="0.35">
      <c r="A16" s="11">
        <v>150</v>
      </c>
      <c r="B16" s="9" t="s">
        <v>140</v>
      </c>
      <c r="C16" s="9" t="s">
        <v>141</v>
      </c>
      <c r="D16" s="9" t="s">
        <v>142</v>
      </c>
      <c r="E16" s="10" t="s">
        <v>143</v>
      </c>
    </row>
    <row r="17" spans="1:5" ht="21" x14ac:dyDescent="0.35">
      <c r="A17" s="12">
        <v>160</v>
      </c>
      <c r="B17" s="13" t="s">
        <v>144</v>
      </c>
      <c r="C17" s="13" t="s">
        <v>145</v>
      </c>
      <c r="D17" s="13" t="s">
        <v>146</v>
      </c>
      <c r="E17" s="14" t="s">
        <v>147</v>
      </c>
    </row>
    <row r="18" spans="1:5" ht="21" x14ac:dyDescent="0.35">
      <c r="A18" s="11">
        <v>170</v>
      </c>
      <c r="B18" s="9" t="s">
        <v>55</v>
      </c>
      <c r="C18" s="9" t="s">
        <v>56</v>
      </c>
      <c r="D18" s="9" t="s">
        <v>236</v>
      </c>
      <c r="E18" s="10" t="s">
        <v>237</v>
      </c>
    </row>
    <row r="19" spans="1:5" ht="21" x14ac:dyDescent="0.35">
      <c r="A19" s="12">
        <v>180</v>
      </c>
      <c r="B19" s="13" t="s">
        <v>80</v>
      </c>
      <c r="C19" s="13" t="s">
        <v>81</v>
      </c>
      <c r="D19" s="13" t="s">
        <v>148</v>
      </c>
      <c r="E19" s="14" t="s">
        <v>149</v>
      </c>
    </row>
    <row r="20" spans="1:5" ht="21" x14ac:dyDescent="0.35">
      <c r="A20" s="11">
        <v>190</v>
      </c>
      <c r="B20" s="9" t="s">
        <v>71</v>
      </c>
      <c r="C20" s="9" t="s">
        <v>71</v>
      </c>
      <c r="D20" s="9" t="s">
        <v>150</v>
      </c>
      <c r="E20" s="10" t="s">
        <v>151</v>
      </c>
    </row>
    <row r="21" spans="1:5" ht="21" x14ac:dyDescent="0.35">
      <c r="A21" s="12">
        <v>200</v>
      </c>
      <c r="B21" s="13" t="s">
        <v>74</v>
      </c>
      <c r="C21" s="13" t="s">
        <v>74</v>
      </c>
      <c r="D21" s="13" t="s">
        <v>152</v>
      </c>
      <c r="E21" s="14" t="s">
        <v>153</v>
      </c>
    </row>
    <row r="22" spans="1:5" ht="21" x14ac:dyDescent="0.35">
      <c r="A22" s="11">
        <v>210</v>
      </c>
      <c r="B22" s="9" t="s">
        <v>154</v>
      </c>
      <c r="C22" s="9" t="s">
        <v>154</v>
      </c>
      <c r="D22" s="9" t="s">
        <v>155</v>
      </c>
      <c r="E22" s="10" t="s">
        <v>156</v>
      </c>
    </row>
    <row r="23" spans="1:5" ht="21" x14ac:dyDescent="0.35">
      <c r="A23" s="12">
        <v>220</v>
      </c>
      <c r="B23" s="13" t="s">
        <v>157</v>
      </c>
      <c r="C23" s="13" t="s">
        <v>157</v>
      </c>
      <c r="D23" s="13" t="s">
        <v>158</v>
      </c>
      <c r="E23" s="14" t="s">
        <v>159</v>
      </c>
    </row>
    <row r="24" spans="1:5" ht="21" x14ac:dyDescent="0.35">
      <c r="A24" s="11">
        <v>230</v>
      </c>
      <c r="B24" s="9" t="s">
        <v>160</v>
      </c>
      <c r="C24" s="9" t="s">
        <v>161</v>
      </c>
      <c r="D24" s="9" t="s">
        <v>162</v>
      </c>
      <c r="E24" s="10" t="s">
        <v>163</v>
      </c>
    </row>
    <row r="25" spans="1:5" ht="21" x14ac:dyDescent="0.35">
      <c r="A25" s="12">
        <v>240</v>
      </c>
      <c r="B25" s="13" t="s">
        <v>164</v>
      </c>
      <c r="C25" s="13" t="s">
        <v>165</v>
      </c>
      <c r="D25" s="13" t="s">
        <v>166</v>
      </c>
      <c r="E25" s="14" t="s">
        <v>167</v>
      </c>
    </row>
    <row r="26" spans="1:5" ht="21" x14ac:dyDescent="0.35">
      <c r="A26" s="11">
        <v>250</v>
      </c>
      <c r="B26" s="9" t="s">
        <v>168</v>
      </c>
      <c r="C26" s="9" t="s">
        <v>168</v>
      </c>
      <c r="D26" s="9" t="s">
        <v>169</v>
      </c>
      <c r="E26" s="10" t="s">
        <v>170</v>
      </c>
    </row>
    <row r="27" spans="1:5" ht="21" x14ac:dyDescent="0.35">
      <c r="A27" s="12">
        <v>260</v>
      </c>
      <c r="B27" s="13" t="s">
        <v>171</v>
      </c>
      <c r="C27" s="13" t="s">
        <v>171</v>
      </c>
      <c r="D27" s="13" t="s">
        <v>172</v>
      </c>
      <c r="E27" s="14" t="s">
        <v>173</v>
      </c>
    </row>
    <row r="28" spans="1:5" ht="21" x14ac:dyDescent="0.35">
      <c r="A28" s="11">
        <v>270</v>
      </c>
      <c r="B28" s="9" t="s">
        <v>174</v>
      </c>
      <c r="C28" s="9" t="s">
        <v>175</v>
      </c>
      <c r="D28" s="9" t="s">
        <v>176</v>
      </c>
      <c r="E28" s="10" t="s">
        <v>177</v>
      </c>
    </row>
    <row r="29" spans="1:5" ht="21" x14ac:dyDescent="0.35">
      <c r="A29" s="12">
        <v>280</v>
      </c>
      <c r="B29" s="13" t="s">
        <v>178</v>
      </c>
      <c r="C29" s="13" t="s">
        <v>179</v>
      </c>
      <c r="D29" s="13" t="s">
        <v>180</v>
      </c>
      <c r="E29" s="14" t="s">
        <v>181</v>
      </c>
    </row>
    <row r="30" spans="1:5" ht="21" x14ac:dyDescent="0.35">
      <c r="A30" s="11">
        <v>290</v>
      </c>
      <c r="B30" s="9" t="s">
        <v>182</v>
      </c>
      <c r="C30" s="9" t="s">
        <v>183</v>
      </c>
      <c r="D30" s="9" t="s">
        <v>184</v>
      </c>
      <c r="E30" s="10" t="s">
        <v>185</v>
      </c>
    </row>
    <row r="31" spans="1:5" ht="21" x14ac:dyDescent="0.35">
      <c r="A31" s="12">
        <v>300</v>
      </c>
      <c r="B31" s="13" t="s">
        <v>186</v>
      </c>
      <c r="C31" s="13" t="s">
        <v>186</v>
      </c>
      <c r="D31" s="13" t="s">
        <v>187</v>
      </c>
      <c r="E31" s="14" t="s">
        <v>188</v>
      </c>
    </row>
    <row r="32" spans="1:5" ht="21" x14ac:dyDescent="0.35">
      <c r="A32" s="11">
        <v>310</v>
      </c>
      <c r="B32" s="9" t="s">
        <v>189</v>
      </c>
      <c r="C32" s="9" t="s">
        <v>190</v>
      </c>
      <c r="D32" s="9" t="s">
        <v>191</v>
      </c>
      <c r="E32" s="10" t="s">
        <v>192</v>
      </c>
    </row>
    <row r="33" spans="1:5" ht="21" x14ac:dyDescent="0.35">
      <c r="A33" s="12">
        <v>320</v>
      </c>
      <c r="B33" s="13" t="s">
        <v>193</v>
      </c>
      <c r="C33" s="13" t="s">
        <v>194</v>
      </c>
      <c r="D33" s="13" t="s">
        <v>195</v>
      </c>
      <c r="E33" s="14" t="s">
        <v>196</v>
      </c>
    </row>
    <row r="34" spans="1:5" ht="21" x14ac:dyDescent="0.35">
      <c r="A34" s="11">
        <v>330</v>
      </c>
      <c r="B34" s="9" t="s">
        <v>197</v>
      </c>
      <c r="C34" s="9" t="s">
        <v>198</v>
      </c>
      <c r="D34" s="9" t="s">
        <v>199</v>
      </c>
      <c r="E34" s="10" t="s">
        <v>200</v>
      </c>
    </row>
    <row r="35" spans="1:5" ht="21" x14ac:dyDescent="0.35">
      <c r="A35" s="12">
        <v>340</v>
      </c>
      <c r="B35" s="13" t="s">
        <v>201</v>
      </c>
      <c r="C35" s="13" t="s">
        <v>201</v>
      </c>
      <c r="D35" s="13" t="s">
        <v>202</v>
      </c>
      <c r="E35" s="14" t="s">
        <v>203</v>
      </c>
    </row>
    <row r="36" spans="1:5" ht="21" x14ac:dyDescent="0.35">
      <c r="A36" s="11">
        <v>350</v>
      </c>
      <c r="B36" s="9" t="s">
        <v>204</v>
      </c>
      <c r="C36" s="9" t="s">
        <v>205</v>
      </c>
      <c r="D36" s="9" t="s">
        <v>206</v>
      </c>
      <c r="E36" s="10" t="s">
        <v>207</v>
      </c>
    </row>
    <row r="37" spans="1:5" ht="21" x14ac:dyDescent="0.35">
      <c r="A37" s="12">
        <v>360</v>
      </c>
      <c r="B37" s="13" t="s">
        <v>208</v>
      </c>
      <c r="C37" s="13" t="s">
        <v>209</v>
      </c>
      <c r="D37" s="13" t="s">
        <v>210</v>
      </c>
      <c r="E37" s="14" t="s">
        <v>211</v>
      </c>
    </row>
    <row r="38" spans="1:5" ht="21" x14ac:dyDescent="0.35">
      <c r="A38" s="11">
        <v>370</v>
      </c>
      <c r="B38" s="9" t="s">
        <v>64</v>
      </c>
      <c r="C38" s="9" t="s">
        <v>65</v>
      </c>
      <c r="D38" s="9" t="s">
        <v>212</v>
      </c>
      <c r="E38" s="10" t="s">
        <v>213</v>
      </c>
    </row>
    <row r="39" spans="1:5" ht="21" x14ac:dyDescent="0.35">
      <c r="A39" s="12">
        <v>380</v>
      </c>
      <c r="B39" s="13" t="s">
        <v>68</v>
      </c>
      <c r="C39" s="13" t="s">
        <v>214</v>
      </c>
      <c r="D39" s="13" t="s">
        <v>215</v>
      </c>
      <c r="E39" s="14" t="s">
        <v>216</v>
      </c>
    </row>
    <row r="40" spans="1:5" ht="21" x14ac:dyDescent="0.35">
      <c r="A40" s="11">
        <v>390</v>
      </c>
      <c r="B40" s="9" t="s">
        <v>217</v>
      </c>
      <c r="C40" s="9" t="s">
        <v>238</v>
      </c>
      <c r="D40" s="7" t="s">
        <v>239</v>
      </c>
      <c r="E40" s="4" t="s">
        <v>240</v>
      </c>
    </row>
    <row r="41" spans="1:5" ht="21" x14ac:dyDescent="0.35">
      <c r="A41" s="12">
        <v>400</v>
      </c>
      <c r="B41" s="13" t="s">
        <v>241</v>
      </c>
      <c r="C41" s="13" t="s">
        <v>242</v>
      </c>
      <c r="D41" s="6" t="s">
        <v>243</v>
      </c>
      <c r="E41" s="5" t="s">
        <v>244</v>
      </c>
    </row>
    <row r="42" spans="1:5" ht="21" x14ac:dyDescent="0.35">
      <c r="A42" s="11">
        <v>410</v>
      </c>
      <c r="B42" s="9" t="s">
        <v>245</v>
      </c>
      <c r="C42" s="9" t="s">
        <v>246</v>
      </c>
      <c r="D42" s="7" t="s">
        <v>247</v>
      </c>
      <c r="E42" s="4" t="s">
        <v>248</v>
      </c>
    </row>
    <row r="43" spans="1:5" ht="21" x14ac:dyDescent="0.35">
      <c r="A43" s="12">
        <v>420</v>
      </c>
      <c r="B43" s="13" t="s">
        <v>249</v>
      </c>
      <c r="C43" s="13" t="s">
        <v>250</v>
      </c>
      <c r="D43" s="6" t="s">
        <v>251</v>
      </c>
      <c r="E43" s="5" t="s">
        <v>252</v>
      </c>
    </row>
    <row r="44" spans="1:5" ht="21" x14ac:dyDescent="0.35">
      <c r="A44" s="11">
        <v>430</v>
      </c>
      <c r="B44" s="9" t="s">
        <v>253</v>
      </c>
      <c r="C44" s="9" t="s">
        <v>254</v>
      </c>
      <c r="D44" s="7" t="s">
        <v>255</v>
      </c>
      <c r="E44" s="4" t="s">
        <v>256</v>
      </c>
    </row>
    <row r="45" spans="1:5" ht="21" x14ac:dyDescent="0.35">
      <c r="A45" s="12">
        <v>440</v>
      </c>
      <c r="B45" s="13" t="s">
        <v>257</v>
      </c>
      <c r="C45" s="13" t="s">
        <v>258</v>
      </c>
      <c r="D45" s="6" t="s">
        <v>259</v>
      </c>
      <c r="E45" s="5" t="s">
        <v>260</v>
      </c>
    </row>
    <row r="46" spans="1:5" ht="21" x14ac:dyDescent="0.35">
      <c r="A46" s="11">
        <v>450</v>
      </c>
      <c r="B46" s="9" t="s">
        <v>261</v>
      </c>
      <c r="C46" s="9" t="s">
        <v>261</v>
      </c>
      <c r="D46" s="7" t="s">
        <v>262</v>
      </c>
      <c r="E46" s="4" t="s">
        <v>263</v>
      </c>
    </row>
    <row r="47" spans="1:5" ht="21" x14ac:dyDescent="0.35">
      <c r="A47" s="12">
        <v>460</v>
      </c>
      <c r="B47" s="13" t="s">
        <v>264</v>
      </c>
      <c r="C47" s="13" t="s">
        <v>265</v>
      </c>
      <c r="D47" s="6" t="s">
        <v>266</v>
      </c>
      <c r="E47" s="5" t="s">
        <v>267</v>
      </c>
    </row>
    <row r="48" spans="1:5" ht="21" x14ac:dyDescent="0.35">
      <c r="A48" s="11">
        <v>470</v>
      </c>
      <c r="B48" s="9" t="s">
        <v>268</v>
      </c>
      <c r="C48" s="9" t="s">
        <v>269</v>
      </c>
      <c r="D48" s="7" t="s">
        <v>270</v>
      </c>
      <c r="E48" s="4" t="s">
        <v>271</v>
      </c>
    </row>
    <row r="49" spans="1:5" ht="21" x14ac:dyDescent="0.35">
      <c r="A49" s="12">
        <v>480</v>
      </c>
      <c r="B49" s="13" t="s">
        <v>272</v>
      </c>
      <c r="C49" s="13" t="s">
        <v>273</v>
      </c>
      <c r="D49" s="6" t="s">
        <v>274</v>
      </c>
      <c r="E49" s="5" t="s">
        <v>275</v>
      </c>
    </row>
    <row r="50" spans="1:5" ht="21" x14ac:dyDescent="0.35">
      <c r="A50" s="12">
        <v>505</v>
      </c>
      <c r="B50" t="s">
        <v>104</v>
      </c>
      <c r="C50" t="s">
        <v>105</v>
      </c>
      <c r="D50" t="s">
        <v>106</v>
      </c>
      <c r="E50" t="s">
        <v>107</v>
      </c>
    </row>
    <row r="51" spans="1:5" ht="21" x14ac:dyDescent="0.35">
      <c r="A51" s="11">
        <v>510</v>
      </c>
      <c r="B51" s="9" t="s">
        <v>218</v>
      </c>
      <c r="C51" s="9" t="s">
        <v>219</v>
      </c>
      <c r="D51" s="7" t="s">
        <v>276</v>
      </c>
      <c r="E51" s="4" t="s">
        <v>277</v>
      </c>
    </row>
    <row r="52" spans="1:5" ht="21" x14ac:dyDescent="0.35">
      <c r="A52" s="12">
        <v>520</v>
      </c>
      <c r="B52" s="13" t="s">
        <v>278</v>
      </c>
      <c r="C52" s="13" t="s">
        <v>279</v>
      </c>
      <c r="D52" s="6" t="s">
        <v>280</v>
      </c>
      <c r="E52" s="5" t="s">
        <v>281</v>
      </c>
    </row>
    <row r="53" spans="1:5" ht="21" x14ac:dyDescent="0.35">
      <c r="A53" s="12">
        <v>540</v>
      </c>
      <c r="B53" s="13" t="s">
        <v>282</v>
      </c>
      <c r="C53" s="13" t="s">
        <v>283</v>
      </c>
      <c r="D53" s="6" t="s">
        <v>284</v>
      </c>
      <c r="E53" s="5" t="s">
        <v>285</v>
      </c>
    </row>
    <row r="54" spans="1:5" ht="21" x14ac:dyDescent="0.35">
      <c r="A54" s="12">
        <v>560</v>
      </c>
      <c r="B54" s="13" t="s">
        <v>286</v>
      </c>
      <c r="C54" s="13" t="s">
        <v>287</v>
      </c>
      <c r="D54" s="6" t="s">
        <v>288</v>
      </c>
      <c r="E54" s="5" t="s">
        <v>289</v>
      </c>
    </row>
    <row r="55" spans="1:5" ht="21" x14ac:dyDescent="0.35">
      <c r="A55" s="11">
        <v>570</v>
      </c>
      <c r="B55" s="9" t="s">
        <v>290</v>
      </c>
      <c r="C55" s="9" t="s">
        <v>291</v>
      </c>
      <c r="D55" s="7" t="s">
        <v>292</v>
      </c>
      <c r="E55" s="4" t="s">
        <v>293</v>
      </c>
    </row>
    <row r="56" spans="1:5" ht="21" x14ac:dyDescent="0.35">
      <c r="A56" s="12">
        <v>580</v>
      </c>
      <c r="B56" s="13" t="s">
        <v>294</v>
      </c>
      <c r="C56" s="13" t="s">
        <v>295</v>
      </c>
      <c r="D56" s="6" t="s">
        <v>296</v>
      </c>
      <c r="E56" s="5" t="s">
        <v>297</v>
      </c>
    </row>
    <row r="57" spans="1:5" ht="21" x14ac:dyDescent="0.35">
      <c r="A57" s="11">
        <v>590</v>
      </c>
      <c r="B57" s="9" t="s">
        <v>298</v>
      </c>
      <c r="C57" s="9" t="s">
        <v>299</v>
      </c>
      <c r="D57" s="7" t="s">
        <v>300</v>
      </c>
      <c r="E57" s="4" t="s">
        <v>301</v>
      </c>
    </row>
    <row r="58" spans="1:5" ht="21" x14ac:dyDescent="0.35">
      <c r="A58" s="12">
        <v>600</v>
      </c>
      <c r="B58" s="13" t="s">
        <v>302</v>
      </c>
      <c r="C58" s="13" t="s">
        <v>303</v>
      </c>
      <c r="D58" s="6" t="s">
        <v>304</v>
      </c>
      <c r="E58" s="5" t="s">
        <v>305</v>
      </c>
    </row>
    <row r="59" spans="1:5" ht="21" x14ac:dyDescent="0.35">
      <c r="A59" s="12">
        <v>620</v>
      </c>
      <c r="B59" s="13" t="s">
        <v>306</v>
      </c>
      <c r="C59" s="13" t="s">
        <v>307</v>
      </c>
      <c r="D59" s="6" t="s">
        <v>308</v>
      </c>
      <c r="E59" s="5" t="s">
        <v>309</v>
      </c>
    </row>
    <row r="60" spans="1:5" ht="21" x14ac:dyDescent="0.35">
      <c r="A60" s="11">
        <v>630</v>
      </c>
      <c r="B60" s="9" t="s">
        <v>310</v>
      </c>
      <c r="C60" s="9" t="s">
        <v>311</v>
      </c>
      <c r="D60" s="7" t="s">
        <v>312</v>
      </c>
      <c r="E60" s="4" t="s">
        <v>313</v>
      </c>
    </row>
    <row r="61" spans="1:5" ht="21" x14ac:dyDescent="0.35">
      <c r="A61" s="12">
        <v>640</v>
      </c>
      <c r="B61" s="13" t="s">
        <v>314</v>
      </c>
      <c r="C61" s="13" t="s">
        <v>315</v>
      </c>
      <c r="D61" s="6" t="s">
        <v>316</v>
      </c>
      <c r="E61" s="5" t="s">
        <v>317</v>
      </c>
    </row>
    <row r="62" spans="1:5" ht="21" x14ac:dyDescent="0.35">
      <c r="A62" s="11">
        <v>650</v>
      </c>
      <c r="B62" s="9" t="s">
        <v>318</v>
      </c>
      <c r="C62" s="9" t="s">
        <v>318</v>
      </c>
      <c r="D62" s="7" t="s">
        <v>319</v>
      </c>
      <c r="E62" s="4" t="s">
        <v>320</v>
      </c>
    </row>
    <row r="63" spans="1:5" ht="21" x14ac:dyDescent="0.35">
      <c r="A63" s="12">
        <v>660</v>
      </c>
      <c r="B63" s="13" t="s">
        <v>321</v>
      </c>
      <c r="C63" s="13" t="s">
        <v>322</v>
      </c>
      <c r="D63" s="6" t="s">
        <v>323</v>
      </c>
      <c r="E63" s="5" t="s">
        <v>324</v>
      </c>
    </row>
    <row r="64" spans="1:5" ht="21" x14ac:dyDescent="0.35">
      <c r="A64" s="11">
        <v>670</v>
      </c>
      <c r="B64" s="9" t="s">
        <v>325</v>
      </c>
      <c r="C64" s="9" t="s">
        <v>325</v>
      </c>
      <c r="D64" s="7" t="s">
        <v>326</v>
      </c>
      <c r="E64" s="4" t="s">
        <v>327</v>
      </c>
    </row>
    <row r="65" spans="1:5" ht="21" x14ac:dyDescent="0.35">
      <c r="A65" s="12">
        <v>680</v>
      </c>
      <c r="B65" s="13" t="s">
        <v>328</v>
      </c>
      <c r="C65" s="13" t="s">
        <v>329</v>
      </c>
      <c r="D65" s="6" t="s">
        <v>330</v>
      </c>
      <c r="E65" s="5" t="s">
        <v>331</v>
      </c>
    </row>
    <row r="66" spans="1:5" ht="21" x14ac:dyDescent="0.35">
      <c r="A66" s="11">
        <v>690</v>
      </c>
      <c r="B66" s="9" t="s">
        <v>332</v>
      </c>
      <c r="C66" s="9" t="s">
        <v>333</v>
      </c>
      <c r="D66" s="7" t="s">
        <v>334</v>
      </c>
      <c r="E66" s="4" t="s">
        <v>335</v>
      </c>
    </row>
    <row r="67" spans="1:5" ht="21" x14ac:dyDescent="0.35">
      <c r="A67" s="12">
        <v>700</v>
      </c>
      <c r="B67" s="13" t="s">
        <v>336</v>
      </c>
      <c r="C67" s="13" t="s">
        <v>337</v>
      </c>
      <c r="D67" s="6" t="s">
        <v>338</v>
      </c>
      <c r="E67" s="5" t="s">
        <v>339</v>
      </c>
    </row>
    <row r="68" spans="1:5" ht="21" x14ac:dyDescent="0.35">
      <c r="A68" s="11">
        <v>710</v>
      </c>
      <c r="B68" s="9" t="s">
        <v>340</v>
      </c>
      <c r="C68" s="9" t="s">
        <v>341</v>
      </c>
      <c r="D68" s="7" t="s">
        <v>342</v>
      </c>
      <c r="E68" s="4" t="s">
        <v>343</v>
      </c>
    </row>
    <row r="69" spans="1:5" ht="21" x14ac:dyDescent="0.35">
      <c r="A69" s="12">
        <v>720</v>
      </c>
      <c r="B69" s="13" t="s">
        <v>344</v>
      </c>
      <c r="C69" s="13" t="s">
        <v>345</v>
      </c>
      <c r="D69" s="6" t="s">
        <v>346</v>
      </c>
      <c r="E69" s="5" t="s">
        <v>347</v>
      </c>
    </row>
    <row r="70" spans="1:5" ht="21" x14ac:dyDescent="0.35">
      <c r="A70" s="11">
        <v>730</v>
      </c>
      <c r="B70" s="9" t="s">
        <v>348</v>
      </c>
      <c r="C70" s="9" t="s">
        <v>349</v>
      </c>
      <c r="D70" s="7" t="s">
        <v>350</v>
      </c>
      <c r="E70" s="4" t="s">
        <v>351</v>
      </c>
    </row>
    <row r="71" spans="1:5" ht="21" x14ac:dyDescent="0.35">
      <c r="A71" s="12">
        <v>740</v>
      </c>
      <c r="B71" s="13" t="s">
        <v>352</v>
      </c>
      <c r="C71" s="13" t="s">
        <v>353</v>
      </c>
      <c r="D71" s="6" t="s">
        <v>354</v>
      </c>
      <c r="E71" s="5" t="s">
        <v>355</v>
      </c>
    </row>
    <row r="72" spans="1:5" ht="21" x14ac:dyDescent="0.35">
      <c r="A72" s="11">
        <v>750</v>
      </c>
      <c r="B72" s="9" t="s">
        <v>356</v>
      </c>
      <c r="C72" s="9" t="s">
        <v>356</v>
      </c>
      <c r="D72" s="7" t="s">
        <v>357</v>
      </c>
      <c r="E72" s="4" t="s">
        <v>358</v>
      </c>
    </row>
    <row r="73" spans="1:5" ht="21" x14ac:dyDescent="0.35">
      <c r="A73" s="8">
        <v>760</v>
      </c>
      <c r="B73" s="13" t="s">
        <v>359</v>
      </c>
      <c r="C73" s="13" t="s">
        <v>360</v>
      </c>
      <c r="D73" s="6" t="s">
        <v>361</v>
      </c>
      <c r="E73" s="5" t="s">
        <v>362</v>
      </c>
    </row>
    <row r="74" spans="1:5" ht="21" x14ac:dyDescent="0.35">
      <c r="A74" s="11">
        <v>770</v>
      </c>
      <c r="B74" s="7" t="s">
        <v>363</v>
      </c>
      <c r="C74" s="9" t="s">
        <v>364</v>
      </c>
      <c r="D74" s="9" t="s">
        <v>365</v>
      </c>
      <c r="E74" s="10" t="s">
        <v>366</v>
      </c>
    </row>
    <row r="75" spans="1:5" ht="21" x14ac:dyDescent="0.35">
      <c r="A75" s="12">
        <v>780</v>
      </c>
      <c r="B75" s="13" t="s">
        <v>367</v>
      </c>
      <c r="C75" s="13" t="s">
        <v>368</v>
      </c>
      <c r="D75" s="6" t="s">
        <v>369</v>
      </c>
      <c r="E75" s="5" t="s">
        <v>370</v>
      </c>
    </row>
    <row r="76" spans="1:5" ht="21" x14ac:dyDescent="0.35">
      <c r="A76" s="11">
        <v>790</v>
      </c>
      <c r="B76" s="9" t="s">
        <v>371</v>
      </c>
      <c r="C76" s="9" t="s">
        <v>372</v>
      </c>
      <c r="D76" s="7" t="s">
        <v>373</v>
      </c>
      <c r="E76" s="4" t="s">
        <v>374</v>
      </c>
    </row>
    <row r="77" spans="1:5" ht="21" x14ac:dyDescent="0.35">
      <c r="A77" s="12">
        <v>800</v>
      </c>
      <c r="B77" s="13" t="s">
        <v>375</v>
      </c>
      <c r="C77" s="13" t="s">
        <v>376</v>
      </c>
      <c r="D77" s="6" t="s">
        <v>377</v>
      </c>
      <c r="E77" s="5" t="s">
        <v>378</v>
      </c>
    </row>
    <row r="78" spans="1:5" ht="21" x14ac:dyDescent="0.35">
      <c r="A78" s="11">
        <v>810</v>
      </c>
      <c r="B78" s="9" t="s">
        <v>379</v>
      </c>
      <c r="C78" s="9" t="s">
        <v>380</v>
      </c>
      <c r="D78" s="7" t="s">
        <v>381</v>
      </c>
      <c r="E78" s="4" t="s">
        <v>382</v>
      </c>
    </row>
    <row r="79" spans="1:5" ht="21" x14ac:dyDescent="0.35">
      <c r="A79" s="8">
        <v>820</v>
      </c>
      <c r="B79" s="13" t="s">
        <v>383</v>
      </c>
      <c r="C79" s="13" t="s">
        <v>384</v>
      </c>
      <c r="D79" s="6" t="s">
        <v>385</v>
      </c>
      <c r="E79" s="5" t="s">
        <v>386</v>
      </c>
    </row>
    <row r="80" spans="1:5" ht="21" x14ac:dyDescent="0.25">
      <c r="A80" s="15">
        <v>830</v>
      </c>
      <c r="B80" s="7" t="s">
        <v>387</v>
      </c>
      <c r="C80" s="7" t="s">
        <v>387</v>
      </c>
      <c r="D80" s="7" t="s">
        <v>388</v>
      </c>
      <c r="E80" s="4" t="s">
        <v>389</v>
      </c>
    </row>
    <row r="81" spans="1:5" ht="21" x14ac:dyDescent="0.25">
      <c r="A81" s="8">
        <v>840</v>
      </c>
      <c r="B81" s="6" t="s">
        <v>82</v>
      </c>
      <c r="C81" s="6" t="s">
        <v>83</v>
      </c>
      <c r="D81" s="6" t="s">
        <v>390</v>
      </c>
      <c r="E81" s="5" t="s">
        <v>391</v>
      </c>
    </row>
    <row r="82" spans="1:5" ht="21" x14ac:dyDescent="0.25">
      <c r="A82" s="15">
        <v>850</v>
      </c>
      <c r="B82" s="7" t="s">
        <v>392</v>
      </c>
      <c r="C82" s="7" t="s">
        <v>52</v>
      </c>
      <c r="D82" s="7" t="s">
        <v>393</v>
      </c>
      <c r="E82" s="4" t="s">
        <v>394</v>
      </c>
    </row>
    <row r="83" spans="1:5" ht="21" x14ac:dyDescent="0.25">
      <c r="A83" s="8">
        <v>860</v>
      </c>
      <c r="B83" s="6" t="s">
        <v>53</v>
      </c>
      <c r="C83" s="6" t="s">
        <v>54</v>
      </c>
      <c r="D83" s="6" t="s">
        <v>395</v>
      </c>
      <c r="E83" s="5" t="s">
        <v>396</v>
      </c>
    </row>
    <row r="84" spans="1:5" ht="21" x14ac:dyDescent="0.25">
      <c r="A84" s="15">
        <v>870</v>
      </c>
      <c r="B84" s="7" t="s">
        <v>397</v>
      </c>
      <c r="C84" s="7" t="s">
        <v>398</v>
      </c>
      <c r="D84" s="7" t="s">
        <v>399</v>
      </c>
      <c r="E84" s="4" t="s">
        <v>400</v>
      </c>
    </row>
    <row r="85" spans="1:5" ht="21" x14ac:dyDescent="0.25">
      <c r="A85" s="8">
        <v>880</v>
      </c>
      <c r="B85" s="6" t="s">
        <v>401</v>
      </c>
      <c r="C85" s="6" t="s">
        <v>402</v>
      </c>
      <c r="D85" s="6" t="s">
        <v>403</v>
      </c>
      <c r="E85" s="5" t="s">
        <v>404</v>
      </c>
    </row>
    <row r="86" spans="1:5" ht="21" x14ac:dyDescent="0.25">
      <c r="A86" s="15">
        <v>890</v>
      </c>
      <c r="B86" s="7" t="s">
        <v>405</v>
      </c>
      <c r="C86" s="7" t="s">
        <v>406</v>
      </c>
      <c r="D86" s="7" t="s">
        <v>407</v>
      </c>
      <c r="E86" s="4" t="s">
        <v>408</v>
      </c>
    </row>
    <row r="87" spans="1:5" ht="21" x14ac:dyDescent="0.25">
      <c r="A87" s="8">
        <v>900</v>
      </c>
      <c r="B87" s="6" t="s">
        <v>409</v>
      </c>
      <c r="C87" s="6" t="s">
        <v>410</v>
      </c>
      <c r="D87" s="6" t="s">
        <v>411</v>
      </c>
      <c r="E87" s="5" t="s">
        <v>412</v>
      </c>
    </row>
    <row r="88" spans="1:5" ht="21" x14ac:dyDescent="0.25">
      <c r="A88" s="15">
        <v>910</v>
      </c>
      <c r="B88" s="7" t="s">
        <v>413</v>
      </c>
      <c r="C88" s="7" t="s">
        <v>414</v>
      </c>
      <c r="D88" s="7" t="s">
        <v>415</v>
      </c>
      <c r="E88" s="4" t="s">
        <v>416</v>
      </c>
    </row>
    <row r="89" spans="1:5" ht="21" x14ac:dyDescent="0.35">
      <c r="A89" s="12">
        <v>920</v>
      </c>
      <c r="B89" s="6" t="s">
        <v>417</v>
      </c>
      <c r="C89" s="6" t="s">
        <v>418</v>
      </c>
      <c r="D89" s="6" t="s">
        <v>419</v>
      </c>
      <c r="E89" s="5" t="s">
        <v>420</v>
      </c>
    </row>
    <row r="90" spans="1:5" ht="21" x14ac:dyDescent="0.35">
      <c r="A90" s="11">
        <v>930</v>
      </c>
      <c r="B90" s="7" t="s">
        <v>421</v>
      </c>
      <c r="C90" s="7" t="s">
        <v>422</v>
      </c>
      <c r="D90" s="7" t="s">
        <v>423</v>
      </c>
      <c r="E90" s="4" t="s">
        <v>424</v>
      </c>
    </row>
    <row r="91" spans="1:5" ht="21" x14ac:dyDescent="0.35">
      <c r="A91" s="12">
        <v>940</v>
      </c>
      <c r="B91" s="6" t="s">
        <v>32</v>
      </c>
      <c r="C91" s="6" t="s">
        <v>425</v>
      </c>
      <c r="D91" s="6" t="s">
        <v>426</v>
      </c>
      <c r="E91" s="5" t="s">
        <v>427</v>
      </c>
    </row>
    <row r="92" spans="1:5" ht="21" x14ac:dyDescent="0.35">
      <c r="A92" s="11">
        <v>950</v>
      </c>
      <c r="B92" s="7" t="s">
        <v>428</v>
      </c>
      <c r="C92" s="7" t="s">
        <v>429</v>
      </c>
      <c r="D92" s="7" t="s">
        <v>430</v>
      </c>
      <c r="E92" s="4" t="s">
        <v>431</v>
      </c>
    </row>
    <row r="93" spans="1:5" ht="21" x14ac:dyDescent="0.35">
      <c r="A93" s="12">
        <v>960</v>
      </c>
      <c r="B93" s="6" t="s">
        <v>432</v>
      </c>
      <c r="C93" s="6" t="s">
        <v>433</v>
      </c>
      <c r="D93" s="6" t="s">
        <v>434</v>
      </c>
      <c r="E93" s="5" t="s">
        <v>435</v>
      </c>
    </row>
    <row r="94" spans="1:5" ht="21" x14ac:dyDescent="0.35">
      <c r="A94" s="11">
        <v>1000</v>
      </c>
      <c r="B94" s="16" t="s">
        <v>436</v>
      </c>
      <c r="C94" s="16" t="s">
        <v>437</v>
      </c>
      <c r="D94" t="s">
        <v>444</v>
      </c>
      <c r="E94" s="18" t="s">
        <v>445</v>
      </c>
    </row>
    <row r="95" spans="1:5" ht="21" x14ac:dyDescent="0.25">
      <c r="A95" s="8">
        <v>1010</v>
      </c>
      <c r="B95" s="17" t="s">
        <v>438</v>
      </c>
      <c r="C95" s="17" t="s">
        <v>439</v>
      </c>
      <c r="D95" t="s">
        <v>446</v>
      </c>
      <c r="E95" t="s">
        <v>447</v>
      </c>
    </row>
    <row r="96" spans="1:5" ht="16.5" x14ac:dyDescent="0.25">
      <c r="A96">
        <v>1020</v>
      </c>
      <c r="B96" t="s">
        <v>543</v>
      </c>
      <c r="C96" t="s">
        <v>544</v>
      </c>
      <c r="D96" s="18" t="s">
        <v>547</v>
      </c>
      <c r="E96" s="18" t="s">
        <v>548</v>
      </c>
    </row>
    <row r="97" spans="1:5" ht="16.5" x14ac:dyDescent="0.25">
      <c r="A97">
        <v>1030</v>
      </c>
      <c r="B97" t="s">
        <v>545</v>
      </c>
      <c r="C97" t="s">
        <v>546</v>
      </c>
      <c r="D97" s="18" t="s">
        <v>549</v>
      </c>
      <c r="E97" s="18" t="s">
        <v>550</v>
      </c>
    </row>
  </sheetData>
  <conditionalFormatting sqref="B2:B97">
    <cfRule type="expression" dxfId="0" priority="9">
      <formula>COUNTIF($B$2:$B$97,"="&amp;TRIM(B2))&gt;1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5C63-8C51-4D30-9A30-C83AF2ABA51F}">
  <sheetPr>
    <tabColor theme="8" tint="-0.499984740745262"/>
  </sheetPr>
  <dimension ref="A1:K68"/>
  <sheetViews>
    <sheetView topLeftCell="A55" workbookViewId="0">
      <selection activeCell="A69" sqref="A69"/>
    </sheetView>
  </sheetViews>
  <sheetFormatPr baseColWidth="10" defaultColWidth="9.140625" defaultRowHeight="15" x14ac:dyDescent="0.25"/>
  <cols>
    <col min="2" max="2" width="52.28515625" customWidth="1"/>
    <col min="3" max="3" width="35.140625" bestFit="1" customWidth="1"/>
    <col min="4" max="4" width="31" customWidth="1"/>
    <col min="5" max="5" width="13.42578125" bestFit="1" customWidth="1"/>
    <col min="6" max="7" width="35.140625" bestFit="1" customWidth="1"/>
    <col min="10" max="10" width="15.140625" bestFit="1" customWidth="1"/>
    <col min="16" max="16" width="13" bestFit="1" customWidth="1"/>
    <col min="17" max="17" width="12.28515625" bestFit="1" customWidth="1"/>
    <col min="18" max="18" width="14.7109375" bestFit="1" customWidth="1"/>
    <col min="19" max="19" width="13.85546875" bestFit="1" customWidth="1"/>
  </cols>
  <sheetData>
    <row r="1" spans="1:11" x14ac:dyDescent="0.25">
      <c r="B1" t="s">
        <v>2</v>
      </c>
      <c r="C1" t="s">
        <v>489</v>
      </c>
    </row>
    <row r="2" spans="1:11" x14ac:dyDescent="0.25">
      <c r="J2" t="s">
        <v>0</v>
      </c>
      <c r="K2" t="s">
        <v>1</v>
      </c>
    </row>
    <row r="3" spans="1:11" x14ac:dyDescent="0.25">
      <c r="B3" t="s">
        <v>488</v>
      </c>
      <c r="C3">
        <f>_xlfn.XMATCH(BASES!$A$1,$B$1:$C$1,0)</f>
        <v>2</v>
      </c>
      <c r="K3" t="s">
        <v>3</v>
      </c>
    </row>
    <row r="4" spans="1:11" ht="26.25" x14ac:dyDescent="0.4">
      <c r="B4" s="1"/>
    </row>
    <row r="5" spans="1:11" x14ac:dyDescent="0.25">
      <c r="A5" t="s">
        <v>77</v>
      </c>
      <c r="B5" t="s">
        <v>449</v>
      </c>
      <c r="C5" t="s">
        <v>448</v>
      </c>
    </row>
    <row r="6" spans="1:11" x14ac:dyDescent="0.25">
      <c r="A6">
        <v>10</v>
      </c>
      <c r="B6" t="s">
        <v>451</v>
      </c>
      <c r="C6" t="s">
        <v>450</v>
      </c>
    </row>
    <row r="7" spans="1:11" x14ac:dyDescent="0.25">
      <c r="A7">
        <v>15</v>
      </c>
      <c r="B7" t="s">
        <v>452</v>
      </c>
      <c r="C7" t="s">
        <v>454</v>
      </c>
      <c r="E7" t="s">
        <v>4</v>
      </c>
      <c r="F7" t="s">
        <v>5</v>
      </c>
      <c r="G7" t="s">
        <v>6</v>
      </c>
      <c r="H7" t="s">
        <v>7</v>
      </c>
    </row>
    <row r="8" spans="1:11" x14ac:dyDescent="0.25">
      <c r="A8">
        <v>16</v>
      </c>
      <c r="B8" t="s">
        <v>453</v>
      </c>
      <c r="C8" t="s">
        <v>455</v>
      </c>
      <c r="D8">
        <v>1</v>
      </c>
      <c r="E8" t="s">
        <v>8</v>
      </c>
      <c r="F8" t="s">
        <v>9</v>
      </c>
      <c r="G8" t="s">
        <v>10</v>
      </c>
      <c r="H8" t="s">
        <v>11</v>
      </c>
    </row>
    <row r="9" spans="1:11" x14ac:dyDescent="0.25">
      <c r="A9">
        <v>17</v>
      </c>
      <c r="B9" t="s">
        <v>464</v>
      </c>
      <c r="C9" t="s">
        <v>465</v>
      </c>
      <c r="D9">
        <v>2</v>
      </c>
      <c r="E9" t="s">
        <v>12</v>
      </c>
      <c r="F9" t="s">
        <v>13</v>
      </c>
      <c r="G9" t="s">
        <v>14</v>
      </c>
      <c r="H9" t="s">
        <v>15</v>
      </c>
    </row>
    <row r="10" spans="1:11" x14ac:dyDescent="0.25">
      <c r="A10">
        <v>20</v>
      </c>
      <c r="B10" t="s">
        <v>456</v>
      </c>
      <c r="C10" t="s">
        <v>457</v>
      </c>
      <c r="D10">
        <v>3</v>
      </c>
      <c r="E10" t="s">
        <v>16</v>
      </c>
      <c r="F10" t="s">
        <v>16</v>
      </c>
      <c r="G10" t="s">
        <v>17</v>
      </c>
      <c r="H10" t="s">
        <v>18</v>
      </c>
    </row>
    <row r="11" spans="1:11" x14ac:dyDescent="0.25">
      <c r="A11">
        <v>30</v>
      </c>
      <c r="B11" t="s">
        <v>459</v>
      </c>
      <c r="C11" t="s">
        <v>458</v>
      </c>
      <c r="D11">
        <v>4</v>
      </c>
      <c r="E11" t="s">
        <v>19</v>
      </c>
      <c r="F11" t="s">
        <v>20</v>
      </c>
      <c r="G11" t="s">
        <v>21</v>
      </c>
      <c r="H11" t="s">
        <v>22</v>
      </c>
    </row>
    <row r="12" spans="1:11" x14ac:dyDescent="0.25">
      <c r="A12">
        <v>40</v>
      </c>
      <c r="B12" t="s">
        <v>460</v>
      </c>
      <c r="C12" t="s">
        <v>461</v>
      </c>
      <c r="D12">
        <v>5</v>
      </c>
      <c r="E12" t="s">
        <v>23</v>
      </c>
      <c r="F12" t="s">
        <v>23</v>
      </c>
      <c r="G12" t="s">
        <v>24</v>
      </c>
      <c r="H12" t="s">
        <v>24</v>
      </c>
    </row>
    <row r="13" spans="1:11" x14ac:dyDescent="0.25">
      <c r="A13">
        <v>45</v>
      </c>
      <c r="B13" t="s">
        <v>462</v>
      </c>
      <c r="C13" t="s">
        <v>572</v>
      </c>
      <c r="D13">
        <v>6</v>
      </c>
      <c r="E13" t="s">
        <v>25</v>
      </c>
      <c r="F13" t="s">
        <v>25</v>
      </c>
      <c r="G13" t="s">
        <v>26</v>
      </c>
      <c r="H13" t="s">
        <v>27</v>
      </c>
    </row>
    <row r="14" spans="1:11" x14ac:dyDescent="0.25">
      <c r="A14">
        <v>48</v>
      </c>
      <c r="B14" t="s">
        <v>463</v>
      </c>
      <c r="C14" t="s">
        <v>573</v>
      </c>
      <c r="D14">
        <v>7</v>
      </c>
      <c r="E14" t="s">
        <v>28</v>
      </c>
      <c r="F14" t="s">
        <v>29</v>
      </c>
      <c r="G14" t="s">
        <v>30</v>
      </c>
      <c r="H14" t="s">
        <v>31</v>
      </c>
    </row>
    <row r="15" spans="1:11" x14ac:dyDescent="0.25">
      <c r="A15">
        <v>50</v>
      </c>
      <c r="B15" t="s">
        <v>466</v>
      </c>
      <c r="C15" t="s">
        <v>467</v>
      </c>
      <c r="D15">
        <v>8</v>
      </c>
      <c r="E15" t="s">
        <v>33</v>
      </c>
      <c r="F15" t="s">
        <v>33</v>
      </c>
      <c r="G15" t="s">
        <v>34</v>
      </c>
      <c r="H15" t="s">
        <v>35</v>
      </c>
    </row>
    <row r="16" spans="1:11" x14ac:dyDescent="0.25">
      <c r="A16">
        <v>55</v>
      </c>
      <c r="B16" t="s">
        <v>468</v>
      </c>
      <c r="C16" t="s">
        <v>469</v>
      </c>
      <c r="D16">
        <v>9</v>
      </c>
      <c r="E16" t="s">
        <v>36</v>
      </c>
      <c r="F16" t="s">
        <v>37</v>
      </c>
      <c r="G16" t="s">
        <v>38</v>
      </c>
      <c r="H16" t="s">
        <v>39</v>
      </c>
    </row>
    <row r="17" spans="1:10" x14ac:dyDescent="0.25">
      <c r="A17">
        <v>60</v>
      </c>
      <c r="B17" t="s">
        <v>470</v>
      </c>
      <c r="C17" t="s">
        <v>471</v>
      </c>
      <c r="D17">
        <v>10</v>
      </c>
      <c r="E17" t="s">
        <v>40</v>
      </c>
      <c r="F17" t="s">
        <v>41</v>
      </c>
      <c r="G17" t="s">
        <v>40</v>
      </c>
      <c r="H17" t="s">
        <v>42</v>
      </c>
    </row>
    <row r="18" spans="1:10" x14ac:dyDescent="0.25">
      <c r="A18">
        <v>61</v>
      </c>
      <c r="B18" t="s">
        <v>474</v>
      </c>
      <c r="C18" t="s">
        <v>475</v>
      </c>
      <c r="D18">
        <v>11</v>
      </c>
      <c r="E18" t="s">
        <v>45</v>
      </c>
      <c r="F18" t="s">
        <v>46</v>
      </c>
      <c r="G18" t="s">
        <v>45</v>
      </c>
      <c r="H18" t="s">
        <v>47</v>
      </c>
    </row>
    <row r="19" spans="1:10" x14ac:dyDescent="0.25">
      <c r="A19">
        <v>62</v>
      </c>
      <c r="B19" t="s">
        <v>472</v>
      </c>
      <c r="C19" t="s">
        <v>473</v>
      </c>
      <c r="D19">
        <v>12</v>
      </c>
      <c r="E19" t="s">
        <v>48</v>
      </c>
      <c r="F19" t="s">
        <v>49</v>
      </c>
      <c r="G19" t="s">
        <v>50</v>
      </c>
      <c r="H19" t="s">
        <v>51</v>
      </c>
    </row>
    <row r="20" spans="1:10" x14ac:dyDescent="0.25">
      <c r="A20">
        <v>63</v>
      </c>
      <c r="B20" t="s">
        <v>476</v>
      </c>
      <c r="C20" t="s">
        <v>477</v>
      </c>
    </row>
    <row r="21" spans="1:10" x14ac:dyDescent="0.25">
      <c r="A21">
        <v>65</v>
      </c>
      <c r="B21" t="s">
        <v>478</v>
      </c>
      <c r="C21" t="s">
        <v>479</v>
      </c>
    </row>
    <row r="22" spans="1:10" x14ac:dyDescent="0.25">
      <c r="A22">
        <v>67</v>
      </c>
      <c r="B22" t="s">
        <v>480</v>
      </c>
      <c r="C22" t="s">
        <v>481</v>
      </c>
    </row>
    <row r="23" spans="1:10" x14ac:dyDescent="0.25">
      <c r="A23">
        <v>68</v>
      </c>
      <c r="B23" t="s">
        <v>482</v>
      </c>
      <c r="C23" t="s">
        <v>483</v>
      </c>
      <c r="E23" t="s">
        <v>57</v>
      </c>
    </row>
    <row r="24" spans="1:10" x14ac:dyDescent="0.25">
      <c r="A24">
        <v>100</v>
      </c>
      <c r="B24" t="s">
        <v>484</v>
      </c>
      <c r="C24" t="s">
        <v>485</v>
      </c>
      <c r="H24" t="s">
        <v>58</v>
      </c>
      <c r="I24" t="s">
        <v>59</v>
      </c>
    </row>
    <row r="25" spans="1:10" x14ac:dyDescent="0.25">
      <c r="A25">
        <v>101</v>
      </c>
      <c r="B25" t="s">
        <v>487</v>
      </c>
      <c r="C25" t="s">
        <v>486</v>
      </c>
      <c r="H25" t="s">
        <v>60</v>
      </c>
      <c r="I25" t="s">
        <v>61</v>
      </c>
    </row>
    <row r="26" spans="1:10" x14ac:dyDescent="0.25">
      <c r="A26">
        <v>110</v>
      </c>
      <c r="B26" t="s">
        <v>220</v>
      </c>
      <c r="C26" t="s">
        <v>221</v>
      </c>
      <c r="H26" t="s">
        <v>62</v>
      </c>
      <c r="I26" t="s">
        <v>63</v>
      </c>
    </row>
    <row r="27" spans="1:10" x14ac:dyDescent="0.25">
      <c r="A27">
        <v>115</v>
      </c>
      <c r="B27" t="s">
        <v>222</v>
      </c>
      <c r="C27" t="s">
        <v>223</v>
      </c>
      <c r="H27" t="s">
        <v>66</v>
      </c>
      <c r="I27" t="s">
        <v>67</v>
      </c>
    </row>
    <row r="28" spans="1:10" x14ac:dyDescent="0.25">
      <c r="A28">
        <v>120</v>
      </c>
      <c r="B28" t="s">
        <v>224</v>
      </c>
      <c r="C28" t="s">
        <v>225</v>
      </c>
      <c r="I28" t="s">
        <v>69</v>
      </c>
      <c r="J28" t="s">
        <v>70</v>
      </c>
    </row>
    <row r="29" spans="1:10" x14ac:dyDescent="0.25">
      <c r="A29">
        <v>125</v>
      </c>
      <c r="B29" t="s">
        <v>226</v>
      </c>
      <c r="C29" t="s">
        <v>227</v>
      </c>
      <c r="I29" t="s">
        <v>72</v>
      </c>
      <c r="J29" t="s">
        <v>73</v>
      </c>
    </row>
    <row r="30" spans="1:10" x14ac:dyDescent="0.25">
      <c r="A30">
        <v>130</v>
      </c>
      <c r="B30" t="s">
        <v>228</v>
      </c>
      <c r="C30" t="s">
        <v>229</v>
      </c>
      <c r="I30" t="s">
        <v>75</v>
      </c>
      <c r="J30" t="s">
        <v>76</v>
      </c>
    </row>
    <row r="31" spans="1:10" x14ac:dyDescent="0.25">
      <c r="A31">
        <v>135</v>
      </c>
      <c r="B31" t="s">
        <v>230</v>
      </c>
      <c r="C31" t="s">
        <v>231</v>
      </c>
    </row>
    <row r="32" spans="1:10" x14ac:dyDescent="0.25">
      <c r="A32">
        <v>140</v>
      </c>
      <c r="B32" t="s">
        <v>232</v>
      </c>
      <c r="C32" t="s">
        <v>233</v>
      </c>
    </row>
    <row r="33" spans="1:3" x14ac:dyDescent="0.25">
      <c r="A33">
        <v>145</v>
      </c>
      <c r="B33" t="s">
        <v>234</v>
      </c>
      <c r="C33" t="s">
        <v>235</v>
      </c>
    </row>
    <row r="34" spans="1:3" x14ac:dyDescent="0.25">
      <c r="A34">
        <v>150</v>
      </c>
      <c r="B34" t="s">
        <v>505</v>
      </c>
      <c r="C34" t="s">
        <v>506</v>
      </c>
    </row>
    <row r="35" spans="1:3" x14ac:dyDescent="0.25">
      <c r="A35">
        <v>155</v>
      </c>
      <c r="B35" t="s">
        <v>500</v>
      </c>
      <c r="C35" t="s">
        <v>507</v>
      </c>
    </row>
    <row r="36" spans="1:3" ht="16.5" x14ac:dyDescent="0.3">
      <c r="A36">
        <v>156</v>
      </c>
      <c r="B36" t="s">
        <v>514</v>
      </c>
      <c r="C36" s="20" t="s">
        <v>515</v>
      </c>
    </row>
    <row r="37" spans="1:3" x14ac:dyDescent="0.25">
      <c r="A37">
        <v>160</v>
      </c>
      <c r="B37" t="s">
        <v>502</v>
      </c>
      <c r="C37" t="s">
        <v>508</v>
      </c>
    </row>
    <row r="38" spans="1:3" ht="16.5" x14ac:dyDescent="0.3">
      <c r="A38">
        <v>162</v>
      </c>
      <c r="B38" t="s">
        <v>516</v>
      </c>
      <c r="C38" s="20" t="s">
        <v>517</v>
      </c>
    </row>
    <row r="39" spans="1:3" x14ac:dyDescent="0.25">
      <c r="A39">
        <v>165</v>
      </c>
      <c r="B39" t="s">
        <v>504</v>
      </c>
      <c r="C39" t="s">
        <v>509</v>
      </c>
    </row>
    <row r="40" spans="1:3" ht="16.5" x14ac:dyDescent="0.3">
      <c r="A40">
        <v>167</v>
      </c>
      <c r="B40" t="s">
        <v>518</v>
      </c>
      <c r="C40" s="20" t="s">
        <v>519</v>
      </c>
    </row>
    <row r="41" spans="1:3" ht="16.5" x14ac:dyDescent="0.3">
      <c r="A41">
        <v>170</v>
      </c>
      <c r="B41" s="39" t="s">
        <v>523</v>
      </c>
      <c r="C41" s="20" t="s">
        <v>522</v>
      </c>
    </row>
    <row r="42" spans="1:3" x14ac:dyDescent="0.25">
      <c r="A42">
        <v>180</v>
      </c>
      <c r="B42" t="s">
        <v>78</v>
      </c>
      <c r="C42" t="s">
        <v>79</v>
      </c>
    </row>
    <row r="43" spans="1:3" x14ac:dyDescent="0.25">
      <c r="A43">
        <v>185</v>
      </c>
      <c r="B43" t="s">
        <v>511</v>
      </c>
      <c r="C43" t="s">
        <v>510</v>
      </c>
    </row>
    <row r="44" spans="1:3" x14ac:dyDescent="0.25">
      <c r="A44">
        <v>187</v>
      </c>
      <c r="B44" t="s">
        <v>512</v>
      </c>
      <c r="C44" t="s">
        <v>513</v>
      </c>
    </row>
    <row r="45" spans="1:3" ht="16.5" x14ac:dyDescent="0.3">
      <c r="A45">
        <v>190</v>
      </c>
      <c r="B45" t="s">
        <v>525</v>
      </c>
      <c r="C45" s="20" t="s">
        <v>524</v>
      </c>
    </row>
    <row r="46" spans="1:3" ht="16.5" x14ac:dyDescent="0.3">
      <c r="A46">
        <v>195</v>
      </c>
      <c r="B46" t="s">
        <v>526</v>
      </c>
      <c r="C46" s="20" t="s">
        <v>527</v>
      </c>
    </row>
    <row r="47" spans="1:3" ht="16.5" x14ac:dyDescent="0.3">
      <c r="A47">
        <v>200</v>
      </c>
      <c r="B47" t="s">
        <v>528</v>
      </c>
      <c r="C47" s="20" t="s">
        <v>529</v>
      </c>
    </row>
    <row r="48" spans="1:3" x14ac:dyDescent="0.25">
      <c r="A48">
        <v>210</v>
      </c>
      <c r="B48" t="s">
        <v>232</v>
      </c>
      <c r="C48" t="s">
        <v>233</v>
      </c>
    </row>
    <row r="49" spans="1:3" ht="16.5" x14ac:dyDescent="0.3">
      <c r="A49">
        <v>220</v>
      </c>
      <c r="B49" s="20" t="s">
        <v>532</v>
      </c>
      <c r="C49" s="46" t="s">
        <v>535</v>
      </c>
    </row>
    <row r="50" spans="1:3" ht="16.5" x14ac:dyDescent="0.3">
      <c r="A50">
        <v>225</v>
      </c>
      <c r="B50" s="20" t="s">
        <v>533</v>
      </c>
      <c r="C50" t="s">
        <v>569</v>
      </c>
    </row>
    <row r="51" spans="1:3" ht="16.5" x14ac:dyDescent="0.3">
      <c r="A51">
        <v>230</v>
      </c>
      <c r="B51" s="20" t="s">
        <v>534</v>
      </c>
      <c r="C51" t="s">
        <v>536</v>
      </c>
    </row>
    <row r="52" spans="1:3" x14ac:dyDescent="0.25">
      <c r="A52">
        <v>231</v>
      </c>
      <c r="B52" t="s">
        <v>530</v>
      </c>
      <c r="C52" t="s">
        <v>531</v>
      </c>
    </row>
    <row r="53" spans="1:3" x14ac:dyDescent="0.25">
      <c r="A53">
        <v>235</v>
      </c>
      <c r="B53" s="2" t="s">
        <v>538</v>
      </c>
      <c r="C53" s="2" t="s">
        <v>537</v>
      </c>
    </row>
    <row r="54" spans="1:3" x14ac:dyDescent="0.25">
      <c r="A54">
        <v>240</v>
      </c>
      <c r="B54" s="2" t="s">
        <v>540</v>
      </c>
      <c r="C54" s="2" t="s">
        <v>539</v>
      </c>
    </row>
    <row r="55" spans="1:3" x14ac:dyDescent="0.25">
      <c r="A55">
        <v>245</v>
      </c>
      <c r="B55" s="2" t="s">
        <v>542</v>
      </c>
      <c r="C55" s="2" t="s">
        <v>541</v>
      </c>
    </row>
    <row r="56" spans="1:3" ht="24" x14ac:dyDescent="0.45">
      <c r="A56">
        <v>247</v>
      </c>
      <c r="B56" s="21" t="s">
        <v>552</v>
      </c>
      <c r="C56" s="2" t="s">
        <v>551</v>
      </c>
    </row>
    <row r="57" spans="1:3" ht="33" x14ac:dyDescent="0.3">
      <c r="A57">
        <v>250</v>
      </c>
      <c r="B57" s="53" t="s">
        <v>554</v>
      </c>
      <c r="C57" s="52" t="s">
        <v>555</v>
      </c>
    </row>
    <row r="58" spans="1:3" ht="33" x14ac:dyDescent="0.3">
      <c r="A58">
        <v>251</v>
      </c>
      <c r="B58" s="53" t="s">
        <v>553</v>
      </c>
      <c r="C58" s="52" t="s">
        <v>556</v>
      </c>
    </row>
    <row r="59" spans="1:3" ht="30.75" x14ac:dyDescent="0.3">
      <c r="A59">
        <v>252</v>
      </c>
      <c r="B59" s="53" t="s">
        <v>570</v>
      </c>
      <c r="C59" s="52" t="s">
        <v>571</v>
      </c>
    </row>
    <row r="60" spans="1:3" x14ac:dyDescent="0.25">
      <c r="A60">
        <v>255</v>
      </c>
      <c r="B60" s="52" t="s">
        <v>557</v>
      </c>
      <c r="C60" t="s">
        <v>558</v>
      </c>
    </row>
    <row r="61" spans="1:3" x14ac:dyDescent="0.25">
      <c r="A61">
        <v>256</v>
      </c>
      <c r="B61" s="52" t="s">
        <v>559</v>
      </c>
      <c r="C61" t="s">
        <v>560</v>
      </c>
    </row>
    <row r="62" spans="1:3" x14ac:dyDescent="0.25">
      <c r="A62">
        <v>260</v>
      </c>
      <c r="B62" s="52" t="s">
        <v>564</v>
      </c>
      <c r="C62" t="s">
        <v>561</v>
      </c>
    </row>
    <row r="63" spans="1:3" x14ac:dyDescent="0.25">
      <c r="A63">
        <v>261</v>
      </c>
      <c r="B63" s="52" t="s">
        <v>568</v>
      </c>
      <c r="C63" t="s">
        <v>565</v>
      </c>
    </row>
    <row r="64" spans="1:3" x14ac:dyDescent="0.25">
      <c r="A64">
        <v>262</v>
      </c>
      <c r="B64" s="52" t="s">
        <v>566</v>
      </c>
      <c r="C64" t="s">
        <v>562</v>
      </c>
    </row>
    <row r="65" spans="1:3" ht="30" x14ac:dyDescent="0.25">
      <c r="A65">
        <v>263</v>
      </c>
      <c r="B65" s="52" t="s">
        <v>567</v>
      </c>
      <c r="C65" t="s">
        <v>563</v>
      </c>
    </row>
    <row r="66" spans="1:3" x14ac:dyDescent="0.25">
      <c r="A66">
        <v>270</v>
      </c>
      <c r="B66" t="s">
        <v>598</v>
      </c>
      <c r="C66" t="s">
        <v>595</v>
      </c>
    </row>
    <row r="67" spans="1:3" x14ac:dyDescent="0.25">
      <c r="A67">
        <v>275</v>
      </c>
      <c r="B67" t="s">
        <v>599</v>
      </c>
      <c r="C67" t="s">
        <v>596</v>
      </c>
    </row>
    <row r="68" spans="1:3" x14ac:dyDescent="0.25">
      <c r="A68">
        <v>280</v>
      </c>
      <c r="B68" t="s">
        <v>600</v>
      </c>
      <c r="C68" t="s">
        <v>597</v>
      </c>
    </row>
  </sheetData>
  <phoneticPr fontId="2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02FA-21E1-4DCC-96E9-14BA2872956A}">
  <dimension ref="A1:Q59"/>
  <sheetViews>
    <sheetView topLeftCell="A4" workbookViewId="0">
      <selection activeCell="D29" sqref="D29"/>
    </sheetView>
  </sheetViews>
  <sheetFormatPr baseColWidth="10" defaultRowHeight="15" x14ac:dyDescent="0.25"/>
  <cols>
    <col min="3" max="3" width="36.7109375" customWidth="1"/>
    <col min="10" max="10" width="16.42578125" style="23" bestFit="1" customWidth="1"/>
    <col min="11" max="17" width="11.42578125" style="24"/>
  </cols>
  <sheetData>
    <row r="1" spans="1:17" s="59" customFormat="1" ht="54" customHeight="1" x14ac:dyDescent="0.7">
      <c r="A1" s="61" t="s">
        <v>490</v>
      </c>
      <c r="C1" s="60" t="str" cm="1">
        <f t="array" ref="C1">TranslateTxt(10)</f>
        <v>Fondamentaux d'une formule</v>
      </c>
      <c r="E1" s="61"/>
      <c r="J1" s="63" t="str" cm="1">
        <f t="array" ref="J1">TranslateTxt(30)</f>
        <v>Exemples</v>
      </c>
      <c r="K1" s="62"/>
      <c r="L1" s="62"/>
      <c r="M1" s="62"/>
      <c r="N1" s="62"/>
      <c r="O1" s="62"/>
      <c r="P1" s="62"/>
      <c r="Q1" s="62"/>
    </row>
    <row r="3" spans="1:17" ht="21" x14ac:dyDescent="0.35">
      <c r="C3" s="19" t="str">
        <f ca="1">_xlfn.FORMULATEXT(J3)</f>
        <v>=2.5*2*2</v>
      </c>
      <c r="D3" t="str" cm="1">
        <f t="array" ref="D3">TranslateTxt(15)</f>
        <v xml:space="preserve">Il faut commencer par le signe '=' </v>
      </c>
      <c r="J3" s="22">
        <f>2.5*2*2</f>
        <v>10</v>
      </c>
      <c r="K3" s="22">
        <f>2*2+1</f>
        <v>5</v>
      </c>
      <c r="L3" s="22">
        <f>2*(2+1)</f>
        <v>6</v>
      </c>
    </row>
    <row r="4" spans="1:17" ht="21" x14ac:dyDescent="0.35">
      <c r="C4" s="19" t="str">
        <f ca="1">_xlfn.FORMULATEXT(K3)</f>
        <v>=2*2+1</v>
      </c>
      <c r="D4" t="str" cm="1">
        <f t="array" ref="D4">TranslateTxt(16)</f>
        <v>Excel peut servir de calculatrice</v>
      </c>
    </row>
    <row r="5" spans="1:17" ht="21" x14ac:dyDescent="0.35">
      <c r="C5" s="19" t="str">
        <f ca="1">_xlfn.FORMULATEXT(L3)</f>
        <v>=2*(2+1)</v>
      </c>
      <c r="D5" t="str" cm="1">
        <f t="array" ref="D5">TranslateTxt(17)</f>
        <v>Attention à l’utilisation de « ( » et « ) »</v>
      </c>
    </row>
    <row r="7" spans="1:17" ht="21" x14ac:dyDescent="0.35">
      <c r="C7" s="19" t="str">
        <f ca="1">_xlfn.FORMULATEXT(J7)</f>
        <v>=$J$1</v>
      </c>
      <c r="D7" t="str" cm="1">
        <f t="array" ref="D7">TranslateTxt(20)</f>
        <v>Liens vers le contenu de la cellule</v>
      </c>
      <c r="J7" s="22" t="str">
        <f>$J$1</f>
        <v>Exemples</v>
      </c>
    </row>
    <row r="10" spans="1:17" ht="21" x14ac:dyDescent="0.35">
      <c r="C10" s="22" t="str">
        <f ca="1">_xlfn.FORMULATEXT(L10)</f>
        <v>=J10+K10</v>
      </c>
      <c r="D10" t="str" cm="1">
        <f t="array" ref="D10">TranslateTxt(40)</f>
        <v>Ajout des valeurs de cellules</v>
      </c>
      <c r="J10" s="23">
        <v>10</v>
      </c>
      <c r="K10" s="24">
        <v>20</v>
      </c>
      <c r="L10" s="22">
        <f>J10+K10</f>
        <v>30</v>
      </c>
    </row>
    <row r="13" spans="1:17" ht="21" x14ac:dyDescent="0.35">
      <c r="C13" s="19" t="str">
        <f ca="1">_xlfn.FORMULATEXT(J13)</f>
        <v>=SOMME(J10;K10)</v>
      </c>
      <c r="D13" t="str" cm="1">
        <f t="array" ref="D13">TranslateTxt(45)</f>
        <v>La fonction SOMME pour ajouter les valeurs des cellules</v>
      </c>
      <c r="J13" s="22">
        <f>SUM(J10,K10)</f>
        <v>30</v>
      </c>
    </row>
    <row r="16" spans="1:17" ht="21" x14ac:dyDescent="0.35">
      <c r="C16" s="19" t="str">
        <f ca="1">_xlfn.FORMULATEXT(J16)</f>
        <v>=SOMME(J10:L10)</v>
      </c>
      <c r="D16" t="str" cm="1">
        <f t="array" ref="D16">TranslateTxt(48)</f>
        <v>La fonction SOMME additionne toutes les valeurs de cellules dans une plage</v>
      </c>
      <c r="J16" s="22">
        <f>SUM(J10:L10)</f>
        <v>60</v>
      </c>
    </row>
    <row r="19" spans="3:16" ht="21" x14ac:dyDescent="0.35">
      <c r="C19" s="22" t="str">
        <f ca="1">_xlfn.FORMULATEXT(P19)</f>
        <v>=MOYENNE(J19:O19)</v>
      </c>
      <c r="D19" t="str" cm="1">
        <f t="array" ref="D19">TranslateTxt(50)</f>
        <v>Calcule la valeur moyenne d’une plage de cellules</v>
      </c>
      <c r="J19" s="23">
        <v>1</v>
      </c>
      <c r="K19" s="24">
        <v>2</v>
      </c>
      <c r="L19" s="24">
        <v>3</v>
      </c>
      <c r="M19" s="24">
        <v>4</v>
      </c>
      <c r="N19" s="24">
        <v>5</v>
      </c>
      <c r="O19" s="24">
        <v>6</v>
      </c>
      <c r="P19" s="22">
        <f>AVERAGE(J19:O19)</f>
        <v>3.5</v>
      </c>
    </row>
    <row r="21" spans="3:16" ht="21" x14ac:dyDescent="0.35">
      <c r="C21" s="22" t="str">
        <f ca="1">_xlfn.FORMULATEXT(N21)</f>
        <v>=MAX(K22:K28)</v>
      </c>
      <c r="D21" t="str" cm="1">
        <f t="array" ref="D21">TranslateTxt(270)</f>
        <v>Trouve la valeur max d'une plage</v>
      </c>
      <c r="J21" s="87" t="s">
        <v>221</v>
      </c>
      <c r="K21" s="88" t="s">
        <v>223</v>
      </c>
      <c r="M21" t="s">
        <v>592</v>
      </c>
      <c r="N21">
        <f>MAX(K22:K28)</f>
        <v>660</v>
      </c>
    </row>
    <row r="22" spans="3:16" x14ac:dyDescent="0.25">
      <c r="J22" s="23" t="s">
        <v>585</v>
      </c>
      <c r="K22" s="24">
        <v>325</v>
      </c>
      <c r="M22"/>
      <c r="N22"/>
    </row>
    <row r="23" spans="3:16" ht="21" x14ac:dyDescent="0.35">
      <c r="C23" s="22" t="str">
        <f ca="1">_xlfn.FORMULATEXT(N23)</f>
        <v>=MIN(K22:K28)</v>
      </c>
      <c r="D23" t="str" cm="1">
        <f t="array" ref="D23">TranslateTxt(275)</f>
        <v>Trouve la valeur min d'une plage</v>
      </c>
      <c r="J23" s="23" t="s">
        <v>586</v>
      </c>
      <c r="K23" s="24">
        <v>390</v>
      </c>
      <c r="M23" t="s">
        <v>593</v>
      </c>
      <c r="N23">
        <f>MIN(K22:K28)</f>
        <v>325</v>
      </c>
    </row>
    <row r="24" spans="3:16" x14ac:dyDescent="0.25">
      <c r="J24" s="23" t="s">
        <v>587</v>
      </c>
      <c r="K24" s="24">
        <v>450</v>
      </c>
      <c r="M24"/>
      <c r="N24"/>
    </row>
    <row r="25" spans="3:16" ht="21" x14ac:dyDescent="0.35">
      <c r="C25" s="22" t="str">
        <f ca="1">_xlfn.FORMULATEXT(M27)</f>
        <v>="Prix moyen="&amp;N25&amp;", min="&amp;N23&amp;",max="&amp;N21</v>
      </c>
      <c r="D25" s="22"/>
      <c r="E25" s="22"/>
      <c r="F25" s="22"/>
      <c r="G25" s="22"/>
      <c r="H25" s="22"/>
      <c r="J25" s="23" t="s">
        <v>588</v>
      </c>
      <c r="K25" s="24">
        <v>510</v>
      </c>
      <c r="M25" t="s">
        <v>594</v>
      </c>
      <c r="N25">
        <f>AVERAGE(K22:K28)</f>
        <v>470</v>
      </c>
    </row>
    <row r="26" spans="3:16" x14ac:dyDescent="0.25">
      <c r="C26" t="str" cm="1">
        <f t="array" ref="C26">TranslateTxt(280)</f>
        <v>Concaténer des chaînes de caractères avec des nombres dans une formule</v>
      </c>
      <c r="J26" s="23" t="s">
        <v>589</v>
      </c>
      <c r="K26" s="24">
        <v>660</v>
      </c>
    </row>
    <row r="27" spans="3:16" ht="21" x14ac:dyDescent="0.35">
      <c r="C27" s="22" t="str">
        <f ca="1">_xlfn.FORMULATEXT(M29)</f>
        <v>=CONCAT(M21;": ";N21;" - ";M23;": ";N23;" - ";M25;": ";N25)</v>
      </c>
      <c r="D27" s="22"/>
      <c r="E27" s="22"/>
      <c r="F27" s="22"/>
      <c r="G27" s="22"/>
      <c r="H27" s="22"/>
      <c r="J27" s="23" t="s">
        <v>590</v>
      </c>
      <c r="K27" s="24">
        <v>540</v>
      </c>
      <c r="M27" s="24" t="str">
        <f>"Prix moyen="&amp;N25&amp;", min="&amp;N23&amp;",max="&amp;N21</f>
        <v>Prix moyen=470, min=325,max=660</v>
      </c>
    </row>
    <row r="28" spans="3:16" x14ac:dyDescent="0.25">
      <c r="J28" s="23" t="s">
        <v>591</v>
      </c>
      <c r="K28" s="24">
        <v>415</v>
      </c>
    </row>
    <row r="29" spans="3:16" x14ac:dyDescent="0.25">
      <c r="M29" s="24" t="str">
        <f>_xlfn.CONCAT(M21,": ",N21," - ",M23,": ",N23," - ",M25,": ",N25)</f>
        <v>Prix Max: 660 - Prix Min.: 325 - Prix Moyen: 470</v>
      </c>
    </row>
    <row r="30" spans="3:16" x14ac:dyDescent="0.25">
      <c r="C30" t="str" cm="1">
        <f t="array" ref="C30">TranslateTxt(55)</f>
        <v>Cliquez dans la barre de formule pour voir les cellules utilisées dans cette formule</v>
      </c>
    </row>
    <row r="37" spans="3:3" x14ac:dyDescent="0.25">
      <c r="C37" t="str" cm="1">
        <f t="array" ref="C37">TranslateTxt(60)</f>
        <v>Formules &gt; Repérer les antécédents</v>
      </c>
    </row>
    <row r="38" spans="3:3" x14ac:dyDescent="0.25">
      <c r="C38" t="str" cm="1">
        <f t="array" ref="C38">TranslateTxt(61)</f>
        <v>Affiche des flèches vers les cellules utilisées dans la formule</v>
      </c>
    </row>
    <row r="43" spans="3:3" x14ac:dyDescent="0.25">
      <c r="C43" t="str" cm="1">
        <f t="array" ref="C43">TranslateTxt(62)</f>
        <v>Formules &gt; Repérer les dépendants</v>
      </c>
    </row>
    <row r="44" spans="3:3" x14ac:dyDescent="0.25">
      <c r="C44" t="str" cm="1">
        <f t="array" ref="C44">TranslateTxt(63)</f>
        <v>Affiche des flèches vers les cellules qui utilisent cette formule</v>
      </c>
    </row>
    <row r="57" spans="3:3" x14ac:dyDescent="0.25">
      <c r="C57" t="str" cm="1">
        <f t="array" ref="C57">TranslateTxt(65)</f>
        <v>Le bouton 'fx' à gauche de la barre de formules ouvre une fenêtre avec les détails et résultats de la formule sélectionnée</v>
      </c>
    </row>
    <row r="58" spans="3:3" x14ac:dyDescent="0.25">
      <c r="C58" t="str" cm="1">
        <f t="array" ref="C58">TranslateTxt(67)</f>
        <v>Utilisation : cliquez sur une cellule contenant une formule puis cliquez sur 'fx'.</v>
      </c>
    </row>
    <row r="59" spans="3:3" x14ac:dyDescent="0.25">
      <c r="C59" t="str" cm="1">
        <f t="array" ref="C59">TranslateTxt(68)</f>
        <v>Dans le cas où plusieurs fonctions sont utilisées dans la formule, cliquez sur la fonction désirée avant d’appuyer sur 'fx'.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100613-C3FE-4025-8A23-57BAAFDABEF0}">
          <x14:formula1>
            <xm:f>TRAD!$B$1:$C$1</xm:f>
          </x14:formula1>
          <xm:sqref>A1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C8C6-391A-4D1C-BBAF-FBEDCFB9D72C}">
  <dimension ref="A1:P56"/>
  <sheetViews>
    <sheetView topLeftCell="A5" workbookViewId="0">
      <selection activeCell="I28" sqref="I28"/>
    </sheetView>
  </sheetViews>
  <sheetFormatPr baseColWidth="10" defaultRowHeight="15" x14ac:dyDescent="0.25"/>
  <cols>
    <col min="2" max="2" width="10.140625" customWidth="1"/>
    <col min="3" max="4" width="17.7109375" customWidth="1"/>
    <col min="6" max="6" width="12.28515625" bestFit="1" customWidth="1"/>
  </cols>
  <sheetData>
    <row r="1" spans="1:16" ht="46.5" x14ac:dyDescent="0.7">
      <c r="A1" s="59"/>
      <c r="B1" s="59"/>
      <c r="C1" s="60" t="str" cm="1">
        <f t="array" ref="C1">TranslateTxt(150)</f>
        <v>Références absolues et relatives de cellule</v>
      </c>
      <c r="D1" s="59"/>
      <c r="E1" s="61"/>
      <c r="F1" s="59"/>
      <c r="G1" s="59"/>
      <c r="H1" s="60"/>
      <c r="I1" s="59"/>
      <c r="J1" s="59"/>
      <c r="K1" s="59"/>
      <c r="L1" s="59"/>
      <c r="M1" s="59"/>
      <c r="N1" s="59"/>
      <c r="O1" s="59"/>
      <c r="P1" s="59"/>
    </row>
    <row r="2" spans="1:16" ht="18.75" x14ac:dyDescent="0.3">
      <c r="B2" s="36" t="s">
        <v>499</v>
      </c>
      <c r="C2" s="36" t="str" cm="1">
        <f t="array" ref="C2">TranslateTxt(155)</f>
        <v xml:space="preserve">RÉFÉRENCE RELATIVE </v>
      </c>
      <c r="D2" s="36"/>
      <c r="E2" s="36" t="str" cm="1">
        <f t="array" ref="E2">TranslateTxt(156)</f>
        <v>La ligne ou la colonne peuvent être modifiées lors de la copie de la formule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ht="18.75" x14ac:dyDescent="0.3">
      <c r="B3" s="37" t="s">
        <v>501</v>
      </c>
      <c r="C3" s="37" t="str" cm="1">
        <f t="array" ref="C3">TranslateTxt(160)</f>
        <v xml:space="preserve">RÉFÉRENCE ABSOLUE </v>
      </c>
      <c r="D3" s="37"/>
      <c r="E3" s="37" t="str" cm="1">
        <f t="array" ref="E3">TranslateTxt(162)</f>
        <v>La référence est verrouillée. Elle pointera toujours vers cette cellule.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6" ht="18.75" x14ac:dyDescent="0.3">
      <c r="B4" s="38" t="s">
        <v>503</v>
      </c>
      <c r="C4" s="38" t="str" cm="1">
        <f t="array" ref="C4">TranslateTxt(165)</f>
        <v>RÉFÉRENCE MIXTE</v>
      </c>
      <c r="D4" s="38"/>
      <c r="E4" s="38" t="str" cm="1">
        <f t="array" ref="E4">TranslateTxt(167)</f>
        <v>Soit la ligne, soit la référence colonne est verrouillée. Seule la dimension libre peut être modifiée.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spans="1:16" x14ac:dyDescent="0.25">
      <c r="B5" s="39" t="str" cm="1">
        <f t="array" ref="B5">TranslateTxt(170)</f>
        <v>Appuyez sur F4 pendant la saisie de la référence pour passer de relative à absolue ou mixte</v>
      </c>
    </row>
    <row r="7" spans="1:16" ht="18.75" x14ac:dyDescent="0.3">
      <c r="B7" s="47">
        <v>1</v>
      </c>
      <c r="C7" s="36">
        <f>B7+1</f>
        <v>2</v>
      </c>
      <c r="D7" s="47" t="str">
        <f t="shared" ref="D7:D12" ca="1" si="0">_xlfn.FORMULATEXT(C7)</f>
        <v>=B7+1</v>
      </c>
    </row>
    <row r="8" spans="1:16" ht="18.75" x14ac:dyDescent="0.3">
      <c r="B8" s="47">
        <v>2</v>
      </c>
      <c r="C8" s="36">
        <f t="shared" ref="C8:C12" si="1">B8+1</f>
        <v>3</v>
      </c>
      <c r="D8" s="47" t="str">
        <f t="shared" ca="1" si="0"/>
        <v>=B8+1</v>
      </c>
    </row>
    <row r="9" spans="1:16" ht="18.75" x14ac:dyDescent="0.3">
      <c r="B9" s="47">
        <v>3</v>
      </c>
      <c r="C9" s="36">
        <f t="shared" si="1"/>
        <v>4</v>
      </c>
      <c r="D9" s="47" t="str">
        <f t="shared" ca="1" si="0"/>
        <v>=B9+1</v>
      </c>
    </row>
    <row r="10" spans="1:16" ht="18.75" x14ac:dyDescent="0.3">
      <c r="B10" s="47">
        <v>4</v>
      </c>
      <c r="C10" s="36">
        <f t="shared" si="1"/>
        <v>5</v>
      </c>
      <c r="D10" s="47" t="str">
        <f t="shared" ca="1" si="0"/>
        <v>=B10+1</v>
      </c>
    </row>
    <row r="11" spans="1:16" ht="18.75" x14ac:dyDescent="0.3">
      <c r="B11" s="47">
        <v>5</v>
      </c>
      <c r="C11" s="36">
        <f t="shared" si="1"/>
        <v>6</v>
      </c>
      <c r="D11" s="47" t="str">
        <f t="shared" ca="1" si="0"/>
        <v>=B11+1</v>
      </c>
    </row>
    <row r="12" spans="1:16" ht="18.75" x14ac:dyDescent="0.3">
      <c r="B12" s="47">
        <v>6</v>
      </c>
      <c r="C12" s="36">
        <f t="shared" si="1"/>
        <v>7</v>
      </c>
      <c r="D12" s="47" t="str">
        <f t="shared" ca="1" si="0"/>
        <v>=B12+1</v>
      </c>
    </row>
    <row r="13" spans="1:16" ht="18.75" x14ac:dyDescent="0.3">
      <c r="B13" s="47"/>
      <c r="C13" s="47"/>
      <c r="D13" s="47" t="str" cm="1">
        <f t="array" ref="D13">TranslateTxt(190)</f>
        <v>Lorsqu’une formule est copiée, elle se souvient de la position relative des cellules utilisées à l’intérieur</v>
      </c>
    </row>
    <row r="14" spans="1:16" ht="18.75" x14ac:dyDescent="0.3">
      <c r="B14" s="47"/>
      <c r="C14" s="47"/>
      <c r="D14" s="47"/>
    </row>
    <row r="15" spans="1:16" ht="18.75" x14ac:dyDescent="0.3">
      <c r="B15" s="47">
        <v>1</v>
      </c>
      <c r="C15" s="37">
        <f>$B$15+B15</f>
        <v>2</v>
      </c>
      <c r="D15" s="47" t="str">
        <f ca="1">_xlfn.FORMULATEXT(C15)</f>
        <v>=$B$15+B15</v>
      </c>
    </row>
    <row r="16" spans="1:16" ht="18.75" x14ac:dyDescent="0.3">
      <c r="B16" s="47">
        <v>2</v>
      </c>
      <c r="C16" s="37">
        <f>$B$15+B16</f>
        <v>3</v>
      </c>
      <c r="D16" s="47" t="str">
        <f ca="1">_xlfn.FORMULATEXT(C16)</f>
        <v>=$B$15+B16</v>
      </c>
    </row>
    <row r="17" spans="2:9" ht="18.75" x14ac:dyDescent="0.3">
      <c r="B17" s="47">
        <v>3</v>
      </c>
      <c r="C17" s="37">
        <f>$B$15+B17</f>
        <v>4</v>
      </c>
      <c r="D17" s="47" t="str">
        <f ca="1">_xlfn.FORMULATEXT(C17)</f>
        <v>=$B$15+B17</v>
      </c>
    </row>
    <row r="18" spans="2:9" ht="18.75" x14ac:dyDescent="0.3">
      <c r="B18" s="47">
        <v>4</v>
      </c>
      <c r="C18" s="37">
        <f>$B$15+B18</f>
        <v>5</v>
      </c>
      <c r="D18" s="47" t="str">
        <f ca="1">_xlfn.FORMULATEXT(C18)</f>
        <v>=$B$15+B18</v>
      </c>
    </row>
    <row r="19" spans="2:9" ht="18.75" x14ac:dyDescent="0.3">
      <c r="B19" s="47"/>
      <c r="C19" s="47"/>
      <c r="D19" s="47" t="str" cm="1">
        <f t="array" ref="D19">TranslateTxt(195)</f>
        <v>Une référence absolue ne sera pas modifiée lorsqu’elle est copiée ailleurs</v>
      </c>
    </row>
    <row r="20" spans="2:9" ht="18.75" x14ac:dyDescent="0.3">
      <c r="B20" s="47"/>
      <c r="C20" s="47"/>
      <c r="D20" s="47"/>
    </row>
    <row r="21" spans="2:9" ht="18.75" x14ac:dyDescent="0.3">
      <c r="B21" s="47">
        <v>1</v>
      </c>
      <c r="C21" s="38">
        <f>$B21+1</f>
        <v>2</v>
      </c>
      <c r="D21" s="47" t="str">
        <f ca="1">_xlfn.FORMULATEXT(C21)</f>
        <v>=$B21+1</v>
      </c>
      <c r="F21" s="38">
        <f>B$21+1</f>
        <v>2</v>
      </c>
      <c r="G21" s="47" t="str">
        <f ca="1">_xlfn.FORMULATEXT(F21)</f>
        <v>=B$21+1</v>
      </c>
    </row>
    <row r="22" spans="2:9" ht="18.75" x14ac:dyDescent="0.3">
      <c r="B22" s="47">
        <v>2</v>
      </c>
      <c r="C22" s="38">
        <f>$B22+1</f>
        <v>3</v>
      </c>
      <c r="D22" s="47" t="str">
        <f ca="1">_xlfn.FORMULATEXT(C22)</f>
        <v>=$B22+1</v>
      </c>
      <c r="F22" s="38">
        <f t="shared" ref="F22:F24" si="2">B$21+1</f>
        <v>2</v>
      </c>
      <c r="G22" s="47" t="str">
        <f t="shared" ref="G22:G24" ca="1" si="3">_xlfn.FORMULATEXT(F22)</f>
        <v>=B$21+1</v>
      </c>
    </row>
    <row r="23" spans="2:9" ht="18.75" x14ac:dyDescent="0.3">
      <c r="B23" s="47">
        <v>3</v>
      </c>
      <c r="C23" s="38">
        <f>$B23+1</f>
        <v>4</v>
      </c>
      <c r="D23" s="47" t="str">
        <f ca="1">_xlfn.FORMULATEXT(C23)</f>
        <v>=$B23+1</v>
      </c>
      <c r="F23" s="38">
        <f t="shared" si="2"/>
        <v>2</v>
      </c>
      <c r="G23" s="47" t="str">
        <f t="shared" ca="1" si="3"/>
        <v>=B$21+1</v>
      </c>
    </row>
    <row r="24" spans="2:9" ht="18.75" x14ac:dyDescent="0.3">
      <c r="B24" s="47">
        <v>4</v>
      </c>
      <c r="C24" s="38">
        <f>$B24+1</f>
        <v>5</v>
      </c>
      <c r="D24" s="47" t="str">
        <f ca="1">_xlfn.FORMULATEXT(C24)</f>
        <v>=$B24+1</v>
      </c>
      <c r="F24" s="38">
        <f t="shared" si="2"/>
        <v>2</v>
      </c>
      <c r="G24" s="47" t="str">
        <f t="shared" ca="1" si="3"/>
        <v>=B$21+1</v>
      </c>
    </row>
    <row r="25" spans="2:9" ht="18.75" x14ac:dyDescent="0.3">
      <c r="B25" s="47"/>
      <c r="C25" s="47"/>
      <c r="D25" s="47" t="str" cm="1">
        <f t="array" ref="D25">TranslateTxt(200)</f>
        <v>Une référence mixte ne bloque qu’une des deux dimensions</v>
      </c>
    </row>
    <row r="28" spans="2:9" x14ac:dyDescent="0.25">
      <c r="H28" s="40" t="str" cm="1">
        <f t="array" ref="H28">TranslateTxt(180)</f>
        <v>TVA</v>
      </c>
      <c r="I28" s="41">
        <v>8.1000000000000003E-2</v>
      </c>
    </row>
    <row r="29" spans="2:9" x14ac:dyDescent="0.25">
      <c r="B29" s="39"/>
      <c r="D29" s="42">
        <v>0.1</v>
      </c>
      <c r="F29" s="40" t="s">
        <v>520</v>
      </c>
      <c r="G29" s="42">
        <v>0.05</v>
      </c>
      <c r="H29" s="42">
        <v>0.1</v>
      </c>
      <c r="I29" s="42">
        <v>0.15</v>
      </c>
    </row>
    <row r="30" spans="2:9" x14ac:dyDescent="0.25">
      <c r="B30" s="33" t="str" cm="1">
        <f t="array" ref="B30">TranslateTxt(185)&amp;1</f>
        <v>Montant1</v>
      </c>
      <c r="C30" s="33" t="str" cm="1">
        <f t="array" ref="C30">TranslateTxt(185)&amp;2</f>
        <v>Montant2</v>
      </c>
      <c r="D30" s="54" t="str" cm="1">
        <f t="array" ref="D30">TranslateTxt(185)&amp;3</f>
        <v>Montant3</v>
      </c>
      <c r="E30" s="54" t="s">
        <v>521</v>
      </c>
      <c r="F30" s="54" t="str" cm="1">
        <f t="array" ref="F30">TranslateTxt(185)&amp;TranslateTxt(187)</f>
        <v>Montant TTC</v>
      </c>
      <c r="G30" s="55" t="str">
        <f>"+"&amp;G29*100&amp;"%"</f>
        <v>+5%</v>
      </c>
      <c r="H30" s="55" t="str">
        <f t="shared" ref="H30:I30" si="4">"+"&amp;H29*100&amp;"%"</f>
        <v>+10%</v>
      </c>
      <c r="I30" s="55" t="str">
        <f t="shared" si="4"/>
        <v>+15%</v>
      </c>
    </row>
    <row r="31" spans="2:9" x14ac:dyDescent="0.25">
      <c r="B31" s="34">
        <v>100000</v>
      </c>
      <c r="C31" s="34">
        <v>5000</v>
      </c>
      <c r="D31" s="34"/>
      <c r="E31" s="34"/>
      <c r="F31" s="64"/>
      <c r="G31" s="65"/>
      <c r="H31" s="66"/>
      <c r="I31" s="67"/>
    </row>
    <row r="32" spans="2:9" x14ac:dyDescent="0.25">
      <c r="B32" s="35">
        <v>200000</v>
      </c>
      <c r="C32" s="35">
        <v>-10000</v>
      </c>
      <c r="D32" s="35"/>
      <c r="E32" s="35"/>
      <c r="F32" s="68"/>
      <c r="G32" s="56"/>
      <c r="H32" s="35"/>
      <c r="I32" s="69"/>
    </row>
    <row r="33" spans="2:9" x14ac:dyDescent="0.25">
      <c r="B33" s="34">
        <v>300000</v>
      </c>
      <c r="C33" s="34">
        <v>5000</v>
      </c>
      <c r="D33" s="34"/>
      <c r="E33" s="34"/>
      <c r="F33" s="70"/>
      <c r="G33" s="57"/>
      <c r="H33" s="34"/>
      <c r="I33" s="71"/>
    </row>
    <row r="34" spans="2:9" x14ac:dyDescent="0.25">
      <c r="B34" s="35">
        <v>400000</v>
      </c>
      <c r="C34" s="35">
        <v>-10000</v>
      </c>
      <c r="D34" s="35"/>
      <c r="E34" s="35"/>
      <c r="F34" s="68"/>
      <c r="G34" s="56"/>
      <c r="H34" s="35"/>
      <c r="I34" s="69"/>
    </row>
    <row r="35" spans="2:9" x14ac:dyDescent="0.25">
      <c r="B35" s="34">
        <v>500000</v>
      </c>
      <c r="C35" s="34">
        <v>5000</v>
      </c>
      <c r="D35" s="34"/>
      <c r="E35" s="34"/>
      <c r="F35" s="70"/>
      <c r="G35" s="57"/>
      <c r="H35" s="34"/>
      <c r="I35" s="71"/>
    </row>
    <row r="36" spans="2:9" x14ac:dyDescent="0.25">
      <c r="B36" s="35">
        <v>600000</v>
      </c>
      <c r="C36" s="35">
        <v>-10000</v>
      </c>
      <c r="D36" s="35"/>
      <c r="E36" s="35"/>
      <c r="F36" s="68"/>
      <c r="G36" s="56"/>
      <c r="H36" s="35"/>
      <c r="I36" s="69"/>
    </row>
    <row r="37" spans="2:9" x14ac:dyDescent="0.25">
      <c r="B37" s="34">
        <v>700000</v>
      </c>
      <c r="C37" s="34">
        <v>5000</v>
      </c>
      <c r="D37" s="34"/>
      <c r="E37" s="34"/>
      <c r="F37" s="70"/>
      <c r="G37" s="57"/>
      <c r="H37" s="34"/>
      <c r="I37" s="71"/>
    </row>
    <row r="38" spans="2:9" x14ac:dyDescent="0.25">
      <c r="B38" s="35">
        <v>800000</v>
      </c>
      <c r="C38" s="35">
        <v>-10000</v>
      </c>
      <c r="D38" s="35"/>
      <c r="E38" s="35"/>
      <c r="F38" s="68"/>
      <c r="G38" s="56"/>
      <c r="H38" s="35"/>
      <c r="I38" s="69"/>
    </row>
    <row r="39" spans="2:9" x14ac:dyDescent="0.25">
      <c r="B39" s="34">
        <v>900000</v>
      </c>
      <c r="C39" s="34">
        <v>5000</v>
      </c>
      <c r="D39" s="34"/>
      <c r="E39" s="34"/>
      <c r="F39" s="70"/>
      <c r="G39" s="57"/>
      <c r="H39" s="34"/>
      <c r="I39" s="71"/>
    </row>
    <row r="40" spans="2:9" x14ac:dyDescent="0.25">
      <c r="B40" s="35">
        <v>1000000</v>
      </c>
      <c r="C40" s="35">
        <v>-10000</v>
      </c>
      <c r="D40" s="35"/>
      <c r="E40" s="35"/>
      <c r="F40" s="68"/>
      <c r="G40" s="56"/>
      <c r="H40" s="35"/>
      <c r="I40" s="69"/>
    </row>
    <row r="41" spans="2:9" x14ac:dyDescent="0.25">
      <c r="B41" s="34">
        <v>1100000</v>
      </c>
      <c r="C41" s="34">
        <v>5000</v>
      </c>
      <c r="D41" s="34"/>
      <c r="E41" s="34"/>
      <c r="F41" s="72"/>
      <c r="G41" s="73"/>
      <c r="H41" s="74"/>
      <c r="I41" s="75"/>
    </row>
    <row r="47" spans="2:9" ht="18.75" x14ac:dyDescent="0.3">
      <c r="D47" s="47" t="str" cm="1">
        <f t="array" ref="D47">TranslateTxt(260)</f>
        <v>Calculez la colonne [Montant3] = 10% de [Montant1]</v>
      </c>
    </row>
    <row r="48" spans="2:9" ht="18.75" x14ac:dyDescent="0.3">
      <c r="D48" s="47"/>
    </row>
    <row r="49" spans="4:4" ht="18.75" x14ac:dyDescent="0.3">
      <c r="D49" s="47"/>
    </row>
    <row r="50" spans="4:4" ht="18.75" x14ac:dyDescent="0.3">
      <c r="D50" s="47" t="str" cm="1">
        <f t="array" ref="D50">TranslateTxt(261)</f>
        <v>Calculez les totaux sur chaque ligne</v>
      </c>
    </row>
    <row r="51" spans="4:4" ht="18.75" x14ac:dyDescent="0.3">
      <c r="D51" s="47"/>
    </row>
    <row r="52" spans="4:4" ht="18.75" x14ac:dyDescent="0.3">
      <c r="D52" s="47"/>
    </row>
    <row r="53" spans="4:4" ht="18.75" x14ac:dyDescent="0.3">
      <c r="D53" s="47" t="str" cm="1">
        <f t="array" ref="D53">TranslateTxt(262)</f>
        <v>Calculez le Montant TTC (=TOTAL+TVA)</v>
      </c>
    </row>
    <row r="54" spans="4:4" ht="18.75" x14ac:dyDescent="0.3">
      <c r="D54" s="47"/>
    </row>
    <row r="55" spans="4:4" ht="18.75" x14ac:dyDescent="0.3">
      <c r="D55" s="47"/>
    </row>
    <row r="56" spans="4:4" ht="18.75" x14ac:dyDescent="0.3">
      <c r="D56" s="47" t="str" cm="1">
        <f t="array" ref="D56">TranslateTxt(263)</f>
        <v>Calculez les prévisions en fonction de la marge (=(TOTAL+Marge)+TVA)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CC90-C98C-464A-8D1D-2DA64DAE3F33}">
  <dimension ref="A1:U28"/>
  <sheetViews>
    <sheetView topLeftCell="B1" workbookViewId="0">
      <pane xSplit="10" topLeftCell="L1" activePane="topRight" state="frozen"/>
      <selection activeCell="B1" sqref="B1"/>
      <selection pane="topRight" activeCell="B1" sqref="B1:K1"/>
    </sheetView>
  </sheetViews>
  <sheetFormatPr baseColWidth="10" defaultRowHeight="15" x14ac:dyDescent="0.25"/>
  <cols>
    <col min="2" max="2" width="17.140625" customWidth="1"/>
    <col min="4" max="4" width="12.42578125" bestFit="1" customWidth="1"/>
    <col min="5" max="5" width="19" customWidth="1"/>
    <col min="6" max="6" width="26" customWidth="1"/>
    <col min="8" max="8" width="19.28515625" customWidth="1"/>
    <col min="9" max="9" width="10.5703125" bestFit="1" customWidth="1"/>
    <col min="10" max="10" width="14.42578125" bestFit="1" customWidth="1"/>
    <col min="11" max="11" width="9.28515625" bestFit="1" customWidth="1"/>
    <col min="12" max="12" width="31.42578125" customWidth="1"/>
    <col min="13" max="13" width="6.7109375" bestFit="1" customWidth="1"/>
    <col min="14" max="14" width="28.7109375" customWidth="1"/>
    <col min="15" max="15" width="5.85546875" customWidth="1"/>
    <col min="16" max="16" width="28.7109375" customWidth="1"/>
  </cols>
  <sheetData>
    <row r="1" spans="1:21" ht="46.5" x14ac:dyDescent="0.7">
      <c r="A1" s="3"/>
      <c r="B1" s="59"/>
      <c r="C1" s="60" t="str" cm="1">
        <f t="array" ref="C1">TranslateTxt(100)</f>
        <v>Fonctions logiques</v>
      </c>
      <c r="D1" s="59"/>
      <c r="E1" s="61"/>
      <c r="F1" s="59"/>
      <c r="G1" s="59"/>
      <c r="H1" s="60" t="str" cm="1">
        <f t="array" ref="H1">TranslateTxt(101)</f>
        <v>SI | ET | OU</v>
      </c>
      <c r="I1" s="59"/>
      <c r="J1" s="59"/>
      <c r="K1" s="59"/>
    </row>
    <row r="3" spans="1:21" ht="23.25" x14ac:dyDescent="0.35">
      <c r="B3" s="58" t="e" cm="1">
        <f t="array" aca="1" ref="B3" ca="1">TranslateMe(196)</f>
        <v>#NAME?</v>
      </c>
      <c r="C3" s="58"/>
      <c r="D3" s="58"/>
      <c r="E3" s="58"/>
      <c r="F3" s="58"/>
    </row>
    <row r="4" spans="1:21" ht="18.75" x14ac:dyDescent="0.3">
      <c r="B4" s="25" t="s">
        <v>491</v>
      </c>
      <c r="C4" s="25" t="s">
        <v>492</v>
      </c>
      <c r="D4" s="26" t="str">
        <f ca="1">_xlfn.FORMULATEXT(D5)</f>
        <v>=ET(B5;C5)</v>
      </c>
      <c r="E4" s="26" t="str">
        <f ca="1">_xlfn.FORMULATEXT(E5)</f>
        <v>=OU(B5;C5)</v>
      </c>
      <c r="F4" s="26" t="str">
        <f ca="1">_xlfn.FORMULATEXT(F5)</f>
        <v>=OUX(B5;C5)</v>
      </c>
    </row>
    <row r="5" spans="1:21" ht="18.75" x14ac:dyDescent="0.3">
      <c r="B5" s="27" t="b">
        <v>1</v>
      </c>
      <c r="C5" s="27" t="b">
        <v>1</v>
      </c>
      <c r="D5" s="27" t="b">
        <f>AND(B5,C5)</f>
        <v>1</v>
      </c>
      <c r="E5" s="27" t="b">
        <f>OR(B5,C5)</f>
        <v>1</v>
      </c>
      <c r="F5" s="27" t="b">
        <f>_xlfn.XOR(B5,C5)</f>
        <v>0</v>
      </c>
    </row>
    <row r="6" spans="1:21" ht="18.75" x14ac:dyDescent="0.3">
      <c r="B6" s="28" cm="1">
        <f t="array" ref="B6:F6">$B$5:$F$5*1</f>
        <v>1</v>
      </c>
      <c r="C6" s="27">
        <v>1</v>
      </c>
      <c r="D6" s="27">
        <v>1</v>
      </c>
      <c r="E6" s="27">
        <v>1</v>
      </c>
      <c r="F6" s="27">
        <v>0</v>
      </c>
    </row>
    <row r="7" spans="1:21" ht="18.75" x14ac:dyDescent="0.3">
      <c r="B7" s="27"/>
      <c r="C7" s="27"/>
      <c r="D7" s="29" t="str">
        <f>$B$6&amp;" * "&amp;$C$6</f>
        <v>1 * 1</v>
      </c>
      <c r="E7" s="29" t="str">
        <f>$B$6&amp;" + "&amp;$C$6</f>
        <v>1 + 1</v>
      </c>
      <c r="F7" s="29" t="str">
        <f>$B$6&amp;" + "&amp;$C$6</f>
        <v>1 + 1</v>
      </c>
    </row>
    <row r="10" spans="1:21" ht="93.75" x14ac:dyDescent="0.3">
      <c r="L10" s="48" t="str" cm="1">
        <f t="array" ref="L10">TranslateTxt(220)</f>
        <v>Pour chaque ligne, si la somme des quantités dépasse la moyenne, alors afficher le nombre sinon non.</v>
      </c>
      <c r="N10" s="49" t="str" cm="1">
        <f t="array" ref="N10">TranslateTxt(225)</f>
        <v>Afficher le texte 'OUI' si le coût est situé entre 100 et 200</v>
      </c>
      <c r="P10" s="49" t="str" cm="1">
        <f t="array" ref="P10">TranslateTxt(230)</f>
        <v>Afficher les totaux de vente pour tous les produits 'SSD'</v>
      </c>
    </row>
    <row r="11" spans="1:21" ht="18.75" x14ac:dyDescent="0.3">
      <c r="B11" s="25" t="str" cm="1">
        <f t="array" ref="B11">TranslateTxt(110)</f>
        <v>Produits</v>
      </c>
      <c r="C11" s="25" t="str" cm="1">
        <f t="array" ref="C11">TranslateTxt(115)</f>
        <v>Prix unitaire</v>
      </c>
      <c r="D11" s="25" t="str" cm="1">
        <f t="array" ref="D11">TranslateTxt(120)</f>
        <v>Coût</v>
      </c>
      <c r="E11" s="25" t="str" cm="1">
        <f t="array" ref="E11">TranslateTxt(125)</f>
        <v>Dernière vente</v>
      </c>
      <c r="F11" s="25" t="str" cm="1">
        <f t="array" ref="F11">TranslateTxt(130)&amp;1</f>
        <v>Qté1</v>
      </c>
      <c r="G11" s="25" t="str" cm="1">
        <f t="array" ref="G11">TranslateTxt(130)&amp;2</f>
        <v>Qté2</v>
      </c>
      <c r="H11" s="25" t="str" cm="1">
        <f t="array" ref="H11">TranslateTxt(130)&amp;3</f>
        <v>Qté3</v>
      </c>
      <c r="I11" s="25" t="str" cm="1">
        <f t="array" ref="I11">TranslateTxt(130)&amp;4</f>
        <v>Qté4</v>
      </c>
      <c r="J11" s="25" t="str" cm="1">
        <f t="array" ref="J11">"Σ"&amp;TranslateTxt(130)</f>
        <v>ΣQté</v>
      </c>
      <c r="L11" s="50" t="str" cm="1">
        <f t="array" ref="L11">"&gt; "&amp;TranslateTxt(210)</f>
        <v>&gt; Moyenne</v>
      </c>
      <c r="M11" s="51"/>
      <c r="N11" s="50" t="str" cm="1">
        <f t="array" ref="N11">"100 &lt; "&amp;TranslateTxt(120)&amp;" &lt; 200"</f>
        <v>100 &lt; Coût &lt; 200</v>
      </c>
      <c r="O11" s="51"/>
      <c r="P11" s="50" t="str" cm="1">
        <f t="array" ref="P11">"["&amp;TranslateTxt(110)&amp;"] "&amp;TranslateTxt(231)&amp;" SSD"</f>
        <v>[Produits] commence par SSD</v>
      </c>
      <c r="Q11" s="51"/>
      <c r="R11" s="51"/>
      <c r="S11" s="51"/>
      <c r="T11" s="51"/>
      <c r="U11" s="51"/>
    </row>
    <row r="12" spans="1:21" ht="21" x14ac:dyDescent="0.35">
      <c r="B12" s="24" t="s">
        <v>493</v>
      </c>
      <c r="C12" s="30">
        <v>120</v>
      </c>
      <c r="D12" s="30">
        <v>80</v>
      </c>
      <c r="E12" s="31">
        <v>45631</v>
      </c>
      <c r="F12" s="32">
        <v>84</v>
      </c>
      <c r="G12" s="32">
        <v>50</v>
      </c>
      <c r="H12" s="32">
        <v>21</v>
      </c>
      <c r="I12" s="32">
        <v>40</v>
      </c>
      <c r="J12" s="22"/>
      <c r="L12" s="22"/>
      <c r="N12" s="22"/>
      <c r="P12" s="22"/>
    </row>
    <row r="13" spans="1:21" ht="21" x14ac:dyDescent="0.35">
      <c r="B13" s="24" t="s">
        <v>494</v>
      </c>
      <c r="C13" s="30">
        <v>190</v>
      </c>
      <c r="D13" s="30">
        <v>114</v>
      </c>
      <c r="E13" s="31">
        <v>45624</v>
      </c>
      <c r="F13" s="32">
        <v>5</v>
      </c>
      <c r="G13" s="32">
        <v>3</v>
      </c>
      <c r="H13" s="32">
        <v>97</v>
      </c>
      <c r="I13" s="32">
        <v>67</v>
      </c>
      <c r="J13" s="22"/>
      <c r="L13" s="22"/>
      <c r="N13" s="22"/>
      <c r="P13" s="22"/>
    </row>
    <row r="14" spans="1:21" ht="21" x14ac:dyDescent="0.35">
      <c r="B14" s="24" t="s">
        <v>495</v>
      </c>
      <c r="C14" s="30">
        <v>280</v>
      </c>
      <c r="D14" s="30">
        <v>168</v>
      </c>
      <c r="E14" s="31">
        <v>45550</v>
      </c>
      <c r="F14" s="32">
        <v>98</v>
      </c>
      <c r="G14" s="32">
        <v>73</v>
      </c>
      <c r="H14" s="32">
        <v>47</v>
      </c>
      <c r="I14" s="32">
        <v>40</v>
      </c>
      <c r="J14" s="22"/>
      <c r="L14" s="22"/>
      <c r="N14" s="22"/>
      <c r="P14" s="22"/>
    </row>
    <row r="15" spans="1:21" ht="21" x14ac:dyDescent="0.35">
      <c r="B15" s="24" t="s">
        <v>496</v>
      </c>
      <c r="C15" s="30">
        <v>150</v>
      </c>
      <c r="D15" s="30">
        <v>99</v>
      </c>
      <c r="E15" s="31">
        <v>45585</v>
      </c>
      <c r="F15" s="32">
        <v>47</v>
      </c>
      <c r="G15" s="32">
        <v>33</v>
      </c>
      <c r="H15" s="32">
        <v>89</v>
      </c>
      <c r="I15" s="32">
        <v>62</v>
      </c>
      <c r="J15" s="22"/>
      <c r="L15" s="22"/>
      <c r="N15" s="22"/>
      <c r="P15" s="22"/>
    </row>
    <row r="16" spans="1:21" ht="21" x14ac:dyDescent="0.35">
      <c r="B16" s="24" t="s">
        <v>497</v>
      </c>
      <c r="C16" s="30">
        <v>189</v>
      </c>
      <c r="D16" s="30">
        <v>109</v>
      </c>
      <c r="E16" s="31">
        <v>45628</v>
      </c>
      <c r="F16" s="32">
        <v>49</v>
      </c>
      <c r="G16" s="32">
        <v>44</v>
      </c>
      <c r="H16" s="32">
        <v>51</v>
      </c>
      <c r="I16" s="32">
        <v>97</v>
      </c>
      <c r="J16" s="22"/>
      <c r="L16" s="22"/>
      <c r="N16" s="22"/>
      <c r="P16" s="22"/>
    </row>
    <row r="17" spans="2:16" ht="21" x14ac:dyDescent="0.35">
      <c r="B17" s="24" t="s">
        <v>498</v>
      </c>
      <c r="C17" s="30">
        <v>410</v>
      </c>
      <c r="D17" s="30">
        <v>249</v>
      </c>
      <c r="E17" s="31">
        <v>45541</v>
      </c>
      <c r="F17" s="32">
        <v>83</v>
      </c>
      <c r="G17" s="32">
        <v>83</v>
      </c>
      <c r="H17" s="32">
        <v>33</v>
      </c>
      <c r="I17" s="32">
        <v>68</v>
      </c>
      <c r="J17" s="22"/>
      <c r="L17" s="22"/>
      <c r="N17" s="22"/>
      <c r="P17" s="22"/>
    </row>
    <row r="18" spans="2:16" ht="15.75" thickBot="1" x14ac:dyDescent="0.3"/>
    <row r="19" spans="2:16" ht="15.75" thickBot="1" x14ac:dyDescent="0.3">
      <c r="H19" s="43"/>
      <c r="I19" s="44" t="str" cm="1">
        <f t="array" ref="I19">TranslateTxt(210)</f>
        <v>Moyenne</v>
      </c>
      <c r="J19" s="45"/>
    </row>
    <row r="21" spans="2:16" ht="75" x14ac:dyDescent="0.25">
      <c r="F21" s="49" t="str" cm="1">
        <f t="array" ref="F21">TranslateTxt(255)</f>
        <v>Affiche le No du jour dans la semaine - JOURSEM()</v>
      </c>
      <c r="H21" s="49" t="str" cm="1">
        <f t="array" ref="H21">TranslateTxt(245)</f>
        <v>Vérifiez des conditions multiples avec SI.MULTIPLE</v>
      </c>
    </row>
    <row r="22" spans="2:16" ht="18.75" x14ac:dyDescent="0.3">
      <c r="B22" s="25" t="str" cm="1">
        <f t="array" ref="B22">TranslateTxt(110)</f>
        <v>Produits</v>
      </c>
      <c r="C22" s="25" t="str" cm="1">
        <f t="array" ref="C22">TranslateTxt(115)</f>
        <v>Prix unitaire</v>
      </c>
      <c r="D22" s="25" t="str" cm="1">
        <f t="array" ref="D22">TranslateTxt(120)</f>
        <v>Coût</v>
      </c>
      <c r="E22" s="25" t="str" cm="1">
        <f t="array" ref="E22">TranslateTxt(125)</f>
        <v>Dernière vente</v>
      </c>
      <c r="F22" s="50" t="str" cm="1">
        <f t="array" ref="F22">TranslateTxt(256)</f>
        <v>No du jour de semaine</v>
      </c>
      <c r="H22" s="50" t="str" cm="1">
        <f t="array" ref="H22">TranslateNameFromDictionnary(1030)</f>
        <v>SI.MULTIPLE</v>
      </c>
      <c r="I22" t="str" cm="1">
        <f t="array" ref="I22">TranslateTxt(251)</f>
        <v>Affiche P.U. &gt; 200 si [Prix unitaire] est plus grand que 200</v>
      </c>
    </row>
    <row r="23" spans="2:16" ht="21" x14ac:dyDescent="0.35">
      <c r="B23" s="24" t="s">
        <v>493</v>
      </c>
      <c r="C23" s="30">
        <v>120</v>
      </c>
      <c r="D23" s="30">
        <v>80</v>
      </c>
      <c r="E23" s="31">
        <v>45631</v>
      </c>
      <c r="F23" s="22"/>
      <c r="H23" s="22"/>
      <c r="I23" t="str" cm="1">
        <f t="array" ref="I23">TranslateTxt(250)</f>
        <v>Affiche 'Commence par S' si [Produits] commence par la lettre S</v>
      </c>
    </row>
    <row r="24" spans="2:16" ht="21" x14ac:dyDescent="0.35">
      <c r="B24" s="24" t="s">
        <v>494</v>
      </c>
      <c r="C24" s="30">
        <v>190</v>
      </c>
      <c r="D24" s="30">
        <v>114</v>
      </c>
      <c r="E24" s="31">
        <v>45624</v>
      </c>
      <c r="F24" s="22"/>
      <c r="H24" s="22"/>
      <c r="I24" t="str" cm="1">
        <f t="array" ref="I24">TranslateTxt(252)</f>
        <v>Affiche Coût &lt; 100 si [Coût] est inférieur à 100</v>
      </c>
    </row>
    <row r="25" spans="2:16" ht="21" x14ac:dyDescent="0.35">
      <c r="B25" s="24" t="s">
        <v>495</v>
      </c>
      <c r="C25" s="30">
        <v>280</v>
      </c>
      <c r="D25" s="30">
        <v>168</v>
      </c>
      <c r="E25" s="31">
        <v>45550</v>
      </c>
      <c r="F25" s="22"/>
      <c r="H25" s="22"/>
    </row>
    <row r="26" spans="2:16" ht="21" x14ac:dyDescent="0.35">
      <c r="B26" s="24" t="s">
        <v>496</v>
      </c>
      <c r="C26" s="30">
        <v>150</v>
      </c>
      <c r="D26" s="30">
        <v>99</v>
      </c>
      <c r="E26" s="31">
        <v>45585</v>
      </c>
      <c r="F26" s="22"/>
      <c r="H26" s="22"/>
    </row>
    <row r="27" spans="2:16" ht="21" x14ac:dyDescent="0.35">
      <c r="B27" s="24" t="s">
        <v>497</v>
      </c>
      <c r="C27" s="30">
        <v>189</v>
      </c>
      <c r="D27" s="30">
        <v>109</v>
      </c>
      <c r="E27" s="31">
        <v>45628</v>
      </c>
      <c r="F27" s="22"/>
      <c r="H27" s="22"/>
    </row>
    <row r="28" spans="2:16" ht="21" x14ac:dyDescent="0.35">
      <c r="B28" s="24" t="s">
        <v>498</v>
      </c>
      <c r="C28" s="30">
        <v>410</v>
      </c>
      <c r="D28" s="30">
        <v>249</v>
      </c>
      <c r="E28" s="31">
        <v>45541</v>
      </c>
      <c r="F28" s="22"/>
      <c r="H28" s="22"/>
    </row>
  </sheetData>
  <protectedRanges>
    <protectedRange sqref="F12:I17" name="Plage1"/>
  </protectedRanges>
  <mergeCells count="1">
    <mergeCell ref="B3:F3"/>
  </mergeCells>
  <dataValidations count="1">
    <dataValidation type="list" allowBlank="1" showInputMessage="1" showErrorMessage="1" sqref="B5:C5" xr:uid="{D12BCEA1-BD4B-4F2A-8A4E-7191354BA551}">
      <formula1>"VRAI,FAUX"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030D-9A54-495F-B120-7095D8ED64E5}">
  <dimension ref="A1:J28"/>
  <sheetViews>
    <sheetView topLeftCell="A4" workbookViewId="0">
      <selection activeCell="B19" sqref="B19"/>
    </sheetView>
  </sheetViews>
  <sheetFormatPr baseColWidth="10" defaultRowHeight="15" x14ac:dyDescent="0.25"/>
  <cols>
    <col min="1" max="2" width="30.7109375" customWidth="1"/>
    <col min="3" max="3" width="27.28515625" customWidth="1"/>
    <col min="4" max="5" width="24.28515625" customWidth="1"/>
    <col min="6" max="6" width="28.7109375" customWidth="1"/>
    <col min="7" max="8" width="24.28515625" customWidth="1"/>
  </cols>
  <sheetData>
    <row r="1" spans="1:10" ht="46.5" x14ac:dyDescent="0.7">
      <c r="A1" s="59"/>
      <c r="B1" s="60" t="s">
        <v>574</v>
      </c>
      <c r="C1" s="59"/>
      <c r="D1" s="61"/>
      <c r="E1" s="59"/>
      <c r="F1" s="59"/>
      <c r="G1" s="60"/>
      <c r="H1" s="59"/>
      <c r="I1" s="59"/>
      <c r="J1" s="59"/>
    </row>
    <row r="3" spans="1:10" ht="26.25" x14ac:dyDescent="0.4">
      <c r="A3" s="92" t="s">
        <v>318</v>
      </c>
      <c r="B3" s="92"/>
      <c r="C3" s="92"/>
      <c r="D3" s="92"/>
      <c r="E3" s="92"/>
      <c r="F3" s="92"/>
      <c r="G3" s="92"/>
      <c r="H3" s="92"/>
      <c r="I3" s="92"/>
      <c r="J3" s="92"/>
    </row>
    <row r="4" spans="1:10" ht="33.75" x14ac:dyDescent="0.5">
      <c r="A4" s="76" t="s">
        <v>311</v>
      </c>
      <c r="B4" s="76"/>
      <c r="C4" s="76" t="s">
        <v>315</v>
      </c>
      <c r="D4" s="76"/>
      <c r="E4" s="76"/>
      <c r="F4" s="76"/>
      <c r="G4" s="76"/>
    </row>
    <row r="5" spans="1:10" ht="21" x14ac:dyDescent="0.35">
      <c r="A5" s="77" t="s">
        <v>313</v>
      </c>
      <c r="B5" s="77"/>
      <c r="C5" s="77" t="str" cm="1">
        <f t="array" ref="C5">Translatefct(640,1)</f>
        <v>Renvoie la date et l’heure actuelles.</v>
      </c>
      <c r="D5" s="77"/>
      <c r="E5" s="77"/>
      <c r="F5" s="77"/>
      <c r="G5" s="77"/>
    </row>
    <row r="6" spans="1:10" ht="23.25" x14ac:dyDescent="0.35">
      <c r="A6" s="78">
        <f ca="1">TODAY()</f>
        <v>46106</v>
      </c>
      <c r="B6" s="79"/>
      <c r="C6" s="80">
        <f ca="1">NOW()</f>
        <v>46106.750227662036</v>
      </c>
    </row>
    <row r="7" spans="1:10" ht="21" x14ac:dyDescent="0.35">
      <c r="A7" s="81" t="str">
        <f ca="1">_xlfn.FORMULATEXT(A6)</f>
        <v>=AUJOURDHUI()</v>
      </c>
      <c r="B7" s="79"/>
      <c r="C7" s="81" t="str">
        <f ca="1">_xlfn.FORMULATEXT(C6)</f>
        <v>=MAINTENANT()</v>
      </c>
    </row>
    <row r="8" spans="1:10" ht="21" x14ac:dyDescent="0.35">
      <c r="B8" s="79"/>
    </row>
    <row r="9" spans="1:10" ht="33.75" x14ac:dyDescent="0.5">
      <c r="A9" s="76" t="s">
        <v>318</v>
      </c>
      <c r="B9" s="76"/>
      <c r="C9" s="76" t="s">
        <v>329</v>
      </c>
      <c r="D9" s="76"/>
      <c r="E9" s="76" t="s">
        <v>333</v>
      </c>
      <c r="F9" s="76"/>
      <c r="G9" s="76" t="s">
        <v>337</v>
      </c>
      <c r="H9" s="76"/>
    </row>
    <row r="10" spans="1:10" ht="42" customHeight="1" x14ac:dyDescent="0.25">
      <c r="A10" s="84" t="s">
        <v>320</v>
      </c>
      <c r="B10" s="84"/>
      <c r="C10" s="85" t="s">
        <v>331</v>
      </c>
      <c r="D10" s="85"/>
      <c r="E10" s="84" t="s">
        <v>335</v>
      </c>
      <c r="F10" s="84"/>
      <c r="G10" s="85" t="s">
        <v>339</v>
      </c>
      <c r="H10" s="85"/>
    </row>
    <row r="11" spans="1:10" ht="23.25" x14ac:dyDescent="0.35">
      <c r="A11" s="78">
        <f>DATE(2023,9,4)</f>
        <v>45173</v>
      </c>
      <c r="B11" s="79"/>
      <c r="C11" s="82">
        <f>YEAR(A11)</f>
        <v>2023</v>
      </c>
      <c r="E11" s="83">
        <f>MONTH(A11)</f>
        <v>9</v>
      </c>
      <c r="G11" s="83">
        <f>DAY(A11)</f>
        <v>4</v>
      </c>
    </row>
    <row r="12" spans="1:10" ht="21" x14ac:dyDescent="0.35">
      <c r="A12" s="81" t="str">
        <f ca="1">_xlfn.FORMULATEXT(A11)</f>
        <v>=DATE(2023;9;4)</v>
      </c>
      <c r="B12" s="79"/>
      <c r="C12" s="81" t="str">
        <f ca="1">_xlfn.FORMULATEXT(C11)</f>
        <v>=ANNEE(A11)</v>
      </c>
      <c r="E12" s="81" t="str">
        <f ca="1">_xlfn.FORMULATEXT(E11)</f>
        <v>=MOIS(A11)</v>
      </c>
      <c r="G12" s="81" t="str">
        <f ca="1">_xlfn.FORMULATEXT(G11)</f>
        <v>=JOUR(A11)</v>
      </c>
    </row>
    <row r="14" spans="1:10" ht="26.25" x14ac:dyDescent="0.4">
      <c r="A14" s="92" t="s">
        <v>364</v>
      </c>
      <c r="B14" s="92"/>
      <c r="C14" s="92"/>
      <c r="D14" s="92"/>
      <c r="E14" s="92"/>
      <c r="F14" s="92"/>
      <c r="G14" s="92"/>
      <c r="H14" s="92"/>
      <c r="I14" s="92"/>
      <c r="J14" s="92"/>
    </row>
    <row r="15" spans="1:10" ht="18.75" x14ac:dyDescent="0.25">
      <c r="C15" s="89" t="str">
        <f ca="1">_xlfn.FORMULATEXT(C16)</f>
        <v>=GAUCHE(B16:B20;5)</v>
      </c>
      <c r="D15" s="89" t="str">
        <f t="shared" ref="D15:H15" ca="1" si="0">_xlfn.FORMULATEXT(D16)</f>
        <v>=DROITE(B16:B20;4)</v>
      </c>
      <c r="E15" s="89" t="str">
        <f t="shared" ca="1" si="0"/>
        <v>=STXT(B16:B20;5;3)</v>
      </c>
      <c r="F15" s="90"/>
      <c r="G15" s="91" t="str">
        <f t="shared" ca="1" si="0"/>
        <v>=TEXTE.APRES(A16:A20;"-";2)</v>
      </c>
    </row>
    <row r="16" spans="1:10" ht="23.25" x14ac:dyDescent="0.35">
      <c r="A16" s="86" t="s">
        <v>575</v>
      </c>
      <c r="B16" s="86" t="s">
        <v>576</v>
      </c>
      <c r="C16" s="83" t="str" cm="1">
        <f t="array" ref="C16:C20">LEFT(B16:B20,5)</f>
        <v>70056</v>
      </c>
      <c r="D16" s="83" t="str" cm="1">
        <f t="array" ref="D16:D20">RIGHT(B16:B20,4)</f>
        <v>2343</v>
      </c>
      <c r="E16" s="83" t="str" cm="1">
        <f t="array" ref="E16:E20">MID(B16:B20,5,3)</f>
        <v>6-2</v>
      </c>
      <c r="F16" s="83" t="str" cm="1">
        <f t="array" ref="F16:F20">MID(A16:A20,FIND("-",A16:A20)+1,2)</f>
        <v>16</v>
      </c>
      <c r="G16" s="83" t="str" cm="1">
        <f t="array" ref="G16:G20">_xlfn.TEXTAFTER(A16:A20,"-",2)</f>
        <v>Small</v>
      </c>
      <c r="H16" s="83" t="str" cm="1">
        <f t="array" ref="H16:H20">_xlfn.TEXTBEFORE(A16:A20,"-",2)</f>
        <v>PWR-16</v>
      </c>
    </row>
    <row r="17" spans="1:10" ht="23.25" x14ac:dyDescent="0.35">
      <c r="A17" s="86" t="s">
        <v>577</v>
      </c>
      <c r="B17" s="86" t="s">
        <v>578</v>
      </c>
      <c r="C17" s="83" t="str">
        <v>75023</v>
      </c>
      <c r="D17" s="83" t="str">
        <v>5774</v>
      </c>
      <c r="E17" s="83" t="str">
        <v>3-5</v>
      </c>
      <c r="F17" s="83" t="str">
        <v>18</v>
      </c>
      <c r="G17" s="83" t="str">
        <v>Medium</v>
      </c>
      <c r="H17" s="83" t="str">
        <v>PW-18</v>
      </c>
    </row>
    <row r="18" spans="1:10" ht="23.25" x14ac:dyDescent="0.35">
      <c r="A18" s="86" t="s">
        <v>579</v>
      </c>
      <c r="B18" s="86" t="s">
        <v>580</v>
      </c>
      <c r="C18" s="83" t="str">
        <v>17451</v>
      </c>
      <c r="D18" s="83" t="str">
        <v>6655</v>
      </c>
      <c r="E18" s="83" t="str">
        <v>1-6</v>
      </c>
      <c r="F18" s="83" t="str">
        <v>19</v>
      </c>
      <c r="G18" s="83" t="str">
        <v>Large</v>
      </c>
      <c r="H18" s="83" t="str">
        <v>PW-19</v>
      </c>
    </row>
    <row r="19" spans="1:10" ht="23.25" x14ac:dyDescent="0.35">
      <c r="A19" s="86" t="s">
        <v>581</v>
      </c>
      <c r="B19" s="86" t="s">
        <v>582</v>
      </c>
      <c r="C19" s="83" t="str">
        <v>54189</v>
      </c>
      <c r="D19" s="83" t="str">
        <v>2546</v>
      </c>
      <c r="E19" s="83" t="str">
        <v>9-2</v>
      </c>
      <c r="F19" s="83" t="str">
        <v>20</v>
      </c>
      <c r="G19" s="83" t="str">
        <v>Medium</v>
      </c>
      <c r="H19" s="83" t="str">
        <v>CWS-20</v>
      </c>
    </row>
    <row r="20" spans="1:10" ht="23.25" x14ac:dyDescent="0.35">
      <c r="A20" s="86" t="s">
        <v>583</v>
      </c>
      <c r="B20" s="86" t="s">
        <v>584</v>
      </c>
      <c r="C20" s="83" t="str">
        <v>45185</v>
      </c>
      <c r="D20" s="83" t="str">
        <v>7814</v>
      </c>
      <c r="E20" s="83" t="str">
        <v>5-7</v>
      </c>
      <c r="F20" s="83" t="str">
        <v>21</v>
      </c>
      <c r="G20" s="83" t="str">
        <v>Large</v>
      </c>
      <c r="H20" s="83" t="str">
        <v>CWTP-21</v>
      </c>
    </row>
    <row r="21" spans="1:10" ht="18.75" x14ac:dyDescent="0.25">
      <c r="F21" s="91" t="str">
        <f ca="1">_xlfn.FORMULATEXT($F$16)</f>
        <v>=STXT(A16:A20;TROUVE("-";A16:A20)+1;2)</v>
      </c>
      <c r="H21" s="91" t="str">
        <f ca="1">_xlfn.FORMULATEXT($H$16)</f>
        <v>=TEXTE.AVANT(A16:A20;"-";2)</v>
      </c>
    </row>
    <row r="23" spans="1:10" ht="26.25" x14ac:dyDescent="0.4">
      <c r="A23" s="92" t="s">
        <v>307</v>
      </c>
      <c r="B23" s="92"/>
      <c r="C23" s="92"/>
      <c r="D23" s="92"/>
      <c r="E23" s="92"/>
      <c r="F23" s="92"/>
      <c r="G23" s="92"/>
      <c r="H23" s="92"/>
      <c r="I23" s="92"/>
      <c r="J23" s="92"/>
    </row>
    <row r="24" spans="1:10" x14ac:dyDescent="0.25">
      <c r="A24">
        <v>5.6027957845908083E-2</v>
      </c>
      <c r="B24">
        <f>ROUND(A24,2)</f>
        <v>0.06</v>
      </c>
      <c r="C24">
        <f>ROUNDDOWN(A24,2)</f>
        <v>0.05</v>
      </c>
      <c r="D24">
        <f>ROUNDUP(A24,2)</f>
        <v>6.0000000000000005E-2</v>
      </c>
      <c r="F24">
        <v>370673</v>
      </c>
      <c r="G24">
        <f>MROUND(F24,50000)</f>
        <v>350000</v>
      </c>
    </row>
    <row r="25" spans="1:10" x14ac:dyDescent="0.25">
      <c r="A25">
        <v>0.23374942614645544</v>
      </c>
      <c r="B25">
        <f t="shared" ref="B25:B27" si="1">ROUND(A25,2)</f>
        <v>0.23</v>
      </c>
      <c r="C25">
        <f t="shared" ref="C25:C27" si="2">ROUNDDOWN(A25,2)</f>
        <v>0.23</v>
      </c>
      <c r="D25">
        <f t="shared" ref="D25:D27" si="3">ROUNDUP(A25,2)</f>
        <v>0.24000000000000002</v>
      </c>
      <c r="F25">
        <v>330619</v>
      </c>
      <c r="G25">
        <f t="shared" ref="G25:G27" si="4">MROUND(F25,50000)</f>
        <v>350000</v>
      </c>
    </row>
    <row r="26" spans="1:10" x14ac:dyDescent="0.25">
      <c r="A26">
        <v>0.16695841779238119</v>
      </c>
      <c r="B26">
        <f t="shared" si="1"/>
        <v>0.17</v>
      </c>
      <c r="C26">
        <f t="shared" si="2"/>
        <v>0.16</v>
      </c>
      <c r="D26">
        <f t="shared" si="3"/>
        <v>0.17</v>
      </c>
      <c r="F26">
        <v>188384</v>
      </c>
      <c r="G26">
        <f t="shared" si="4"/>
        <v>200000</v>
      </c>
    </row>
    <row r="27" spans="1:10" x14ac:dyDescent="0.25">
      <c r="A27">
        <v>0.62011219234074022</v>
      </c>
      <c r="B27">
        <f t="shared" si="1"/>
        <v>0.62</v>
      </c>
      <c r="C27">
        <f t="shared" si="2"/>
        <v>0.62</v>
      </c>
      <c r="D27">
        <f t="shared" si="3"/>
        <v>0.63</v>
      </c>
      <c r="F27">
        <v>309081</v>
      </c>
      <c r="G27">
        <f t="shared" si="4"/>
        <v>300000</v>
      </c>
    </row>
    <row r="28" spans="1:10" ht="18.75" x14ac:dyDescent="0.3">
      <c r="B28" s="81" t="str">
        <f ca="1">_xlfn.FORMULATEXT(B27)</f>
        <v>=ARRONDI(A27;2)</v>
      </c>
      <c r="C28" s="81" t="str">
        <f t="shared" ref="C28:D28" ca="1" si="5">_xlfn.FORMULATEXT(C27)</f>
        <v>=ARRONDI.INF(A27;2)</v>
      </c>
      <c r="D28" s="81" t="str">
        <f t="shared" ca="1" si="5"/>
        <v>=ARRONDI.SUP(A27;2)</v>
      </c>
      <c r="G28" s="81" t="str">
        <f t="shared" ref="G28" ca="1" si="6">_xlfn.FORMULATEXT(G27)</f>
        <v>=ARRONDI.AU.MULTIPLE(F27;50000)</v>
      </c>
      <c r="H28" s="81"/>
      <c r="I28" s="81"/>
    </row>
  </sheetData>
  <mergeCells count="4">
    <mergeCell ref="A10:B10"/>
    <mergeCell ref="E10:F10"/>
    <mergeCell ref="C10:D10"/>
    <mergeCell ref="G10:H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86F7-C5E2-4CA2-B0AE-18031B7EE782}">
  <dimension ref="A1:BO38"/>
  <sheetViews>
    <sheetView tabSelected="1" workbookViewId="0">
      <pane xSplit="11" topLeftCell="L1" activePane="topRight" state="frozen"/>
      <selection pane="topRight" activeCell="E3" sqref="E3"/>
    </sheetView>
  </sheetViews>
  <sheetFormatPr baseColWidth="10" defaultRowHeight="15" x14ac:dyDescent="0.25"/>
  <cols>
    <col min="1" max="1" width="15.42578125" bestFit="1" customWidth="1"/>
    <col min="2" max="2" width="10" bestFit="1" customWidth="1"/>
    <col min="3" max="3" width="13.7109375" bestFit="1" customWidth="1"/>
    <col min="4" max="4" width="12.5703125" bestFit="1" customWidth="1"/>
    <col min="5" max="5" width="18.140625" bestFit="1" customWidth="1"/>
    <col min="6" max="6" width="10.5703125" bestFit="1" customWidth="1"/>
    <col min="7" max="7" width="14.28515625" bestFit="1" customWidth="1"/>
    <col min="52" max="52" width="10" bestFit="1" customWidth="1"/>
    <col min="53" max="53" width="14.42578125" bestFit="1" customWidth="1"/>
    <col min="55" max="55" width="10.7109375" bestFit="1" customWidth="1"/>
    <col min="56" max="56" width="8.42578125" bestFit="1" customWidth="1"/>
    <col min="57" max="57" width="10.7109375" bestFit="1" customWidth="1"/>
    <col min="58" max="58" width="13.28515625" bestFit="1" customWidth="1"/>
    <col min="59" max="59" width="16.85546875" bestFit="1" customWidth="1"/>
    <col min="60" max="60" width="22.7109375" bestFit="1" customWidth="1"/>
    <col min="61" max="61" width="5.28515625" bestFit="1" customWidth="1"/>
    <col min="62" max="62" width="3" bestFit="1" customWidth="1"/>
    <col min="63" max="63" width="7.7109375" bestFit="1" customWidth="1"/>
    <col min="64" max="64" width="14.42578125" bestFit="1" customWidth="1"/>
    <col min="66" max="66" width="15.5703125" bestFit="1" customWidth="1"/>
    <col min="67" max="67" width="15.85546875" bestFit="1" customWidth="1"/>
  </cols>
  <sheetData>
    <row r="1" spans="1:67" ht="46.5" x14ac:dyDescent="0.7">
      <c r="A1" s="59"/>
      <c r="B1" s="60" t="s">
        <v>644</v>
      </c>
      <c r="C1" s="59"/>
      <c r="D1" s="61"/>
      <c r="E1" s="59"/>
      <c r="F1" s="59"/>
      <c r="G1" s="60"/>
      <c r="H1" s="59"/>
      <c r="I1" s="59"/>
      <c r="J1" s="59"/>
    </row>
    <row r="3" spans="1:67" ht="15.75" thickBot="1" x14ac:dyDescent="0.3"/>
    <row r="4" spans="1:67" ht="17.25" thickBot="1" x14ac:dyDescent="0.3">
      <c r="A4" s="94" t="s">
        <v>601</v>
      </c>
      <c r="B4" s="94" t="s">
        <v>602</v>
      </c>
      <c r="C4" s="94" t="s">
        <v>603</v>
      </c>
      <c r="D4" s="94" t="s">
        <v>604</v>
      </c>
      <c r="E4" s="94" t="s">
        <v>605</v>
      </c>
      <c r="F4" s="94" t="s">
        <v>606</v>
      </c>
      <c r="G4" s="94" t="s">
        <v>607</v>
      </c>
      <c r="AZ4" s="94" t="s">
        <v>510</v>
      </c>
      <c r="BA4" s="94" t="s">
        <v>628</v>
      </c>
      <c r="BB4" s="94" t="s">
        <v>629</v>
      </c>
      <c r="BC4" s="94" t="s">
        <v>630</v>
      </c>
      <c r="BD4" s="94" t="s">
        <v>631</v>
      </c>
      <c r="BE4" s="94" t="s">
        <v>632</v>
      </c>
      <c r="BF4" s="94" t="s">
        <v>634</v>
      </c>
      <c r="BG4" s="94" t="s">
        <v>633</v>
      </c>
      <c r="BH4" s="94" t="s">
        <v>635</v>
      </c>
      <c r="BI4" s="94"/>
      <c r="BJ4" s="94"/>
      <c r="BK4" s="94" t="s">
        <v>636</v>
      </c>
      <c r="BL4" s="94" t="s">
        <v>637</v>
      </c>
      <c r="BM4" s="94" t="s">
        <v>638</v>
      </c>
      <c r="BN4" s="94" t="s">
        <v>639</v>
      </c>
      <c r="BO4" s="94" t="s">
        <v>640</v>
      </c>
    </row>
    <row r="5" spans="1:67" ht="17.25" thickBot="1" x14ac:dyDescent="0.3">
      <c r="A5" s="95" t="s">
        <v>608</v>
      </c>
      <c r="B5" s="95">
        <v>24</v>
      </c>
      <c r="C5" s="95">
        <v>2.5</v>
      </c>
      <c r="D5" s="95" t="s">
        <v>609</v>
      </c>
      <c r="E5" s="96">
        <v>45303</v>
      </c>
      <c r="F5" s="95" t="s">
        <v>610</v>
      </c>
      <c r="G5" s="95" t="s">
        <v>611</v>
      </c>
      <c r="AZ5">
        <f>ROUND(B5*C5,0)</f>
        <v>60</v>
      </c>
      <c r="BA5">
        <f>ROUND(AZ5*(1+REFERENCES!$I$28),0)</f>
        <v>65</v>
      </c>
      <c r="BB5" t="str">
        <f>LEFT(G5,3)</f>
        <v>STY</v>
      </c>
      <c r="BC5" t="str">
        <f>RIGHT(G5,2)</f>
        <v>01</v>
      </c>
      <c r="BD5">
        <f>LEN(A5)</f>
        <v>10</v>
      </c>
      <c r="BE5">
        <f>SEARCH("-",G5)</f>
        <v>4</v>
      </c>
      <c r="BF5">
        <f>SEARCH("-",G5,BE5+1)</f>
        <v>9</v>
      </c>
      <c r="BG5" t="str">
        <f>MID(G5,BE5+1,BF5-BE5-1)</f>
        <v>BLEU</v>
      </c>
      <c r="BH5" t="str" cm="1">
        <f t="array" ref="BH5:BJ5">_xlfn.TEXTSPLIT(G5,"-")</f>
        <v>STY</v>
      </c>
      <c r="BI5" t="str">
        <v>BLEU</v>
      </c>
      <c r="BJ5" t="str">
        <v>01</v>
      </c>
      <c r="BK5">
        <f>YEAR(E5)</f>
        <v>2024</v>
      </c>
      <c r="BL5" s="93">
        <f>E5+30</f>
        <v>45333</v>
      </c>
      <c r="BM5" s="93">
        <f>DATE(BK5+3,MONTH(E5),DAY(E5))</f>
        <v>46399</v>
      </c>
      <c r="BN5">
        <f>IF(AZ5&lt;70,$F$11,0)</f>
        <v>20</v>
      </c>
      <c r="BO5">
        <f>IF(OR(BJ5="03",BJ5="04"),$F$12,0)</f>
        <v>0</v>
      </c>
    </row>
    <row r="6" spans="1:67" ht="17.25" thickBot="1" x14ac:dyDescent="0.3">
      <c r="A6" s="95" t="s">
        <v>612</v>
      </c>
      <c r="B6" s="95">
        <v>10</v>
      </c>
      <c r="C6" s="95">
        <v>4.8</v>
      </c>
      <c r="D6" s="95" t="s">
        <v>613</v>
      </c>
      <c r="E6" s="96">
        <v>45306</v>
      </c>
      <c r="F6" s="95" t="s">
        <v>614</v>
      </c>
      <c r="G6" s="95" t="s">
        <v>615</v>
      </c>
      <c r="AZ6">
        <f t="shared" ref="AZ6:AZ9" si="0">ROUND(B6*C6,0)</f>
        <v>48</v>
      </c>
      <c r="BA6">
        <f>ROUND(AZ6*(1+REFERENCES!$I$28),0)</f>
        <v>52</v>
      </c>
      <c r="BB6" t="str">
        <f t="shared" ref="BB6:BB9" si="1">LEFT(G6,3)</f>
        <v>CAH</v>
      </c>
      <c r="BC6" t="str">
        <f t="shared" ref="BC6:BC9" si="2">RIGHT(G6,2)</f>
        <v>05</v>
      </c>
      <c r="BD6">
        <f t="shared" ref="BD6:BD9" si="3">LEN(A6)</f>
        <v>9</v>
      </c>
      <c r="BE6">
        <f t="shared" ref="BE6:BE9" si="4">SEARCH("-",G6)</f>
        <v>4</v>
      </c>
      <c r="BF6">
        <f t="shared" ref="BF6:BF9" si="5">SEARCH("-",G6,BE6+1)</f>
        <v>7</v>
      </c>
      <c r="BG6" t="str">
        <f t="shared" ref="BG6:BG9" si="6">MID(G6,BE6+1,BF6-BE6-1)</f>
        <v>A4</v>
      </c>
      <c r="BH6" t="str" cm="1">
        <f t="array" ref="BH6:BJ6">_xlfn.TEXTSPLIT(G6,"-")</f>
        <v>CAH</v>
      </c>
      <c r="BI6" t="str">
        <v>A4</v>
      </c>
      <c r="BJ6" t="str">
        <v>05</v>
      </c>
      <c r="BK6">
        <f t="shared" ref="BK6:BK9" si="7">YEAR(E6)</f>
        <v>2024</v>
      </c>
      <c r="BL6" s="93">
        <f t="shared" ref="BL6:BL9" si="8">E6+30</f>
        <v>45336</v>
      </c>
      <c r="BM6" s="93">
        <f t="shared" ref="BM6:BM9" si="9">DATE(BK6+3,MONTH(E6),DAY(E6))</f>
        <v>46402</v>
      </c>
      <c r="BN6">
        <f t="shared" ref="BN6:BN9" si="10">IF(AZ6&lt;70,$F$11,0)</f>
        <v>20</v>
      </c>
      <c r="BO6">
        <f t="shared" ref="BO6:BO9" si="11">IF(OR(BJ6="03",BJ6="04"),$F$12,0)</f>
        <v>0</v>
      </c>
    </row>
    <row r="7" spans="1:67" ht="17.25" thickBot="1" x14ac:dyDescent="0.3">
      <c r="A7" s="95" t="s">
        <v>616</v>
      </c>
      <c r="B7" s="95">
        <v>7</v>
      </c>
      <c r="C7" s="95">
        <v>19.899999999999999</v>
      </c>
      <c r="D7" s="95" t="s">
        <v>617</v>
      </c>
      <c r="E7" s="96">
        <v>45325</v>
      </c>
      <c r="F7" s="95" t="s">
        <v>618</v>
      </c>
      <c r="G7" s="95" t="s">
        <v>619</v>
      </c>
      <c r="AZ7">
        <f t="shared" si="0"/>
        <v>139</v>
      </c>
      <c r="BA7">
        <f>ROUND(AZ7*(1+REFERENCES!$I$28),0)</f>
        <v>150</v>
      </c>
      <c r="BB7" t="str">
        <f t="shared" si="1"/>
        <v>AGD</v>
      </c>
      <c r="BC7" t="str">
        <f t="shared" si="2"/>
        <v>07</v>
      </c>
      <c r="BD7">
        <f t="shared" si="3"/>
        <v>11</v>
      </c>
      <c r="BE7">
        <f t="shared" si="4"/>
        <v>4</v>
      </c>
      <c r="BF7">
        <f t="shared" si="5"/>
        <v>9</v>
      </c>
      <c r="BG7" t="str">
        <f t="shared" si="6"/>
        <v>2024</v>
      </c>
      <c r="BH7" t="str" cm="1">
        <f t="array" ref="BH7:BJ7">_xlfn.TEXTSPLIT(G7,"-")</f>
        <v>AGD</v>
      </c>
      <c r="BI7" t="str">
        <v>2024</v>
      </c>
      <c r="BJ7" t="str">
        <v>07</v>
      </c>
      <c r="BK7">
        <f t="shared" si="7"/>
        <v>2024</v>
      </c>
      <c r="BL7" s="93">
        <f t="shared" si="8"/>
        <v>45355</v>
      </c>
      <c r="BM7" s="93">
        <f t="shared" si="9"/>
        <v>46421</v>
      </c>
      <c r="BN7">
        <f t="shared" si="10"/>
        <v>0</v>
      </c>
      <c r="BO7">
        <f t="shared" si="11"/>
        <v>0</v>
      </c>
    </row>
    <row r="8" spans="1:67" ht="17.25" thickBot="1" x14ac:dyDescent="0.3">
      <c r="A8" s="95" t="s">
        <v>620</v>
      </c>
      <c r="B8" s="95">
        <v>3</v>
      </c>
      <c r="C8" s="95">
        <v>35</v>
      </c>
      <c r="D8" s="95" t="s">
        <v>621</v>
      </c>
      <c r="E8" s="96">
        <v>45342</v>
      </c>
      <c r="F8" s="95" t="s">
        <v>622</v>
      </c>
      <c r="G8" s="95" t="s">
        <v>623</v>
      </c>
      <c r="AZ8">
        <f t="shared" si="0"/>
        <v>105</v>
      </c>
      <c r="BA8">
        <f>ROUND(AZ8*(1+REFERENCES!$I$28),0)</f>
        <v>114</v>
      </c>
      <c r="BB8" t="str">
        <f t="shared" si="1"/>
        <v>SRS</v>
      </c>
      <c r="BC8" t="str">
        <f t="shared" si="2"/>
        <v>03</v>
      </c>
      <c r="BD8">
        <f t="shared" si="3"/>
        <v>10</v>
      </c>
      <c r="BE8">
        <f t="shared" si="4"/>
        <v>4</v>
      </c>
      <c r="BF8">
        <f t="shared" si="5"/>
        <v>8</v>
      </c>
      <c r="BG8" t="str">
        <f t="shared" si="6"/>
        <v>USB</v>
      </c>
      <c r="BH8" t="str" cm="1">
        <f t="array" ref="BH8:BJ8">_xlfn.TEXTSPLIT(G8,"-")</f>
        <v>SRS</v>
      </c>
      <c r="BI8" t="str">
        <v>USB</v>
      </c>
      <c r="BJ8" t="str">
        <v>03</v>
      </c>
      <c r="BK8">
        <f t="shared" si="7"/>
        <v>2024</v>
      </c>
      <c r="BL8" s="93">
        <f t="shared" si="8"/>
        <v>45372</v>
      </c>
      <c r="BM8" s="93">
        <f t="shared" si="9"/>
        <v>46438</v>
      </c>
      <c r="BN8">
        <f t="shared" si="10"/>
        <v>0</v>
      </c>
      <c r="BO8">
        <f t="shared" si="11"/>
        <v>10</v>
      </c>
    </row>
    <row r="9" spans="1:67" ht="17.25" thickBot="1" x14ac:dyDescent="0.3">
      <c r="A9" s="95" t="s">
        <v>624</v>
      </c>
      <c r="B9" s="95">
        <v>4</v>
      </c>
      <c r="C9" s="95">
        <v>49</v>
      </c>
      <c r="D9" s="95" t="s">
        <v>625</v>
      </c>
      <c r="E9" s="96">
        <v>45350</v>
      </c>
      <c r="F9" s="95" t="s">
        <v>626</v>
      </c>
      <c r="G9" s="95" t="s">
        <v>627</v>
      </c>
      <c r="AZ9">
        <f t="shared" si="0"/>
        <v>196</v>
      </c>
      <c r="BA9">
        <f>ROUND(AZ9*(1+REFERENCES!$I$28),0)</f>
        <v>212</v>
      </c>
      <c r="BB9" t="str">
        <f t="shared" si="1"/>
        <v>CLV</v>
      </c>
      <c r="BC9" t="str">
        <f t="shared" si="2"/>
        <v>04</v>
      </c>
      <c r="BD9">
        <f t="shared" si="3"/>
        <v>14</v>
      </c>
      <c r="BE9">
        <f t="shared" si="4"/>
        <v>4</v>
      </c>
      <c r="BF9">
        <f t="shared" si="5"/>
        <v>8</v>
      </c>
      <c r="BG9" t="str">
        <f t="shared" si="6"/>
        <v>AZT</v>
      </c>
      <c r="BH9" t="str" cm="1">
        <f t="array" ref="BH9:BJ9">_xlfn.TEXTSPLIT(G9,"-")</f>
        <v>CLV</v>
      </c>
      <c r="BI9" t="str">
        <v>AZT</v>
      </c>
      <c r="BJ9" t="str">
        <v>04</v>
      </c>
      <c r="BK9">
        <f t="shared" si="7"/>
        <v>2024</v>
      </c>
      <c r="BL9" s="93">
        <f t="shared" si="8"/>
        <v>45380</v>
      </c>
      <c r="BM9" s="93">
        <f t="shared" si="9"/>
        <v>46446</v>
      </c>
      <c r="BN9">
        <f t="shared" si="10"/>
        <v>0</v>
      </c>
      <c r="BO9">
        <f t="shared" si="11"/>
        <v>10</v>
      </c>
    </row>
    <row r="11" spans="1:67" x14ac:dyDescent="0.25">
      <c r="E11" t="s">
        <v>641</v>
      </c>
      <c r="F11">
        <v>20</v>
      </c>
      <c r="BG11" s="93" t="str">
        <f ca="1">"Traité le: "&amp;TEXT(TODAY(),"JJ-MM-AA")</f>
        <v>Traité le: 25-03-26</v>
      </c>
    </row>
    <row r="12" spans="1:67" x14ac:dyDescent="0.25">
      <c r="E12" t="s">
        <v>642</v>
      </c>
      <c r="F12">
        <v>10</v>
      </c>
    </row>
    <row r="38" spans="1:1" x14ac:dyDescent="0.25">
      <c r="A38" t="s">
        <v>643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ee61e397712e1b6dc7739e32d7ccec9d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98486b18ee558285ff8da1122274ee2d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97AF79-2741-411E-BA92-1CBA39BBC2E5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037ed5ce-9e80-41f7-81a5-4f297c26d5d9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AB1FDC6-AE7A-4B42-BF62-C7F89C1C9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AD7E58-3A66-4BF9-8285-D8E366D651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4</vt:i4>
      </vt:variant>
    </vt:vector>
  </HeadingPairs>
  <TitlesOfParts>
    <vt:vector size="11" baseType="lpstr">
      <vt:lpstr>TRADFUNCTIONS</vt:lpstr>
      <vt:lpstr>TRAD</vt:lpstr>
      <vt:lpstr>BASES</vt:lpstr>
      <vt:lpstr>REFERENCES</vt:lpstr>
      <vt:lpstr>LOGIQUE</vt:lpstr>
      <vt:lpstr>Fct utiles</vt:lpstr>
      <vt:lpstr>EXERCICE</vt:lpstr>
      <vt:lpstr>lst_moiscourt</vt:lpstr>
      <vt:lpstr>lst_moislong</vt:lpstr>
      <vt:lpstr>lst_monthlong</vt:lpstr>
      <vt:lpstr>lst_monthShort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Moreau, manager</dc:creator>
  <cp:lastModifiedBy>Ludovic Moreau, manager</cp:lastModifiedBy>
  <dcterms:created xsi:type="dcterms:W3CDTF">2026-03-04T08:44:06Z</dcterms:created>
  <dcterms:modified xsi:type="dcterms:W3CDTF">2026-03-25T17:01:44Z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</Properties>
</file>